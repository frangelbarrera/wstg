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3"/>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49.5" customHeight="1" s="82">
      <c r="A6" s="19" t="n"/>
      <c r="B6" s="34" t="inlineStr">
        <is>
          <t>WSTG-INFO-01</t>
        </is>
      </c>
      <c r="C6" s="15">
        <f>HYPERLINK("https://owasp.org/www-project-web-security-testing-guide/latest/4-Web_Application_Security_Testing/01-Information_Gathering/01-Conduct_Search_Engine_Discovery_Reconnaissance_for_Information_Leakage", "Realizar Reconocimiento de Descubrimiento de Motores de Búsqueda para Fugas de Información")</f>
        <v/>
      </c>
      <c r="D6" s="16" t="inlineStr">
        <is>
          <t>N/A</t>
        </is>
      </c>
      <c r="E6" s="18" t="inlineStr">
        <is>
          <t>Not Started</t>
        </is>
      </c>
      <c r="F6" s="18" t="n"/>
    </row>
    <row r="7" ht="16.5" customHeight="1" s="82">
      <c r="A7" s="19" t="n"/>
      <c r="B7" s="34" t="inlineStr">
        <is>
          <t>WSTG-INFO-02</t>
        </is>
      </c>
      <c r="C7" s="15">
        <f>HYPERLINK("https://owasp.org/www-project-web-security-testing-guide/latest/4-Web_Application_Security_Testing/01-Information_Gathering/02-Fingerprint_Web_Server", "Huella Digital del Servidor Web")</f>
        <v/>
      </c>
      <c r="D7" s="16" t="inlineStr">
        <is>
          <t>N/A</t>
        </is>
      </c>
      <c r="E7" s="18" t="inlineStr">
        <is>
          <t>Not Started</t>
        </is>
      </c>
      <c r="F7" s="18" t="n"/>
    </row>
    <row r="8" ht="33" customHeight="1" s="82">
      <c r="A8" s="19" t="n"/>
      <c r="B8" s="34" t="inlineStr">
        <is>
          <t>WSTG-INFO-03</t>
        </is>
      </c>
      <c r="C8" s="15">
        <f>HYPERLINK("https://owasp.org/www-project-web-security-testing-guide/latest/4-Web_Application_Security_Testing/01-Information_Gathering/03-Review_Webserver_Metafiles_for_Information_Leakage", "Revisar Metafiles del Servidor Web para Fugas de Información")</f>
        <v/>
      </c>
      <c r="D8" s="16" t="inlineStr">
        <is>
          <t>N/A</t>
        </is>
      </c>
      <c r="E8" s="18" t="inlineStr">
        <is>
          <t>Not Started</t>
        </is>
      </c>
      <c r="F8" s="18" t="n"/>
    </row>
    <row r="9" ht="115.5" customHeight="1" s="82">
      <c r="A9" s="19" t="n"/>
      <c r="B9" s="34" t="inlineStr">
        <is>
          <t>WSTG-INFO-04</t>
        </is>
      </c>
      <c r="C9" s="15">
        <f>HYPERLINK("https://owasp.org/www-project-web-security-testing-guide/latest/4-Web_Application_Security_Testing/01-Information_Gathering/04-Attack_Surface_Identification", "Attack Surface Identification")</f>
        <v/>
      </c>
      <c r="D9" s="16" t="inlineStr">
        <is>
          <t>- Enumerate all web applications within scope.
- Identify DNS names, domains, and virtual hosts associated with the target.
- Discover additional domains and subdomains using passive and active DNS techniques.
- Analyze digital certificates and Certificate Transparency logs for additional hostnames.</t>
        </is>
      </c>
      <c r="E9" s="18" t="inlineStr">
        <is>
          <t>Not Started</t>
        </is>
      </c>
      <c r="F9" s="18" t="n"/>
    </row>
    <row r="10" ht="33" customHeight="1" s="82">
      <c r="A10" s="19" t="n"/>
      <c r="B10" s="34" t="inlineStr">
        <is>
          <t>WSTG-INFO-05</t>
        </is>
      </c>
      <c r="C10" s="15">
        <f>HYPERLINK("https://owasp.org/www-project-web-security-testing-guide/latest/4-Web_Application_Security_Testing/01-Information_Gathering/05-Review_Web_Page_Content_for_Information_Leakage", "Revisar Contenido de Página Web para Fugas de Información")</f>
        <v/>
      </c>
      <c r="D10" s="16" t="inlineStr">
        <is>
          <t>N/A</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"Identificar Puntos de Entrada de la Aplicación")</f>
        <v/>
      </c>
      <c r="D11" s="16" t="inlineStr">
        <is>
          <t>N/A</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"Mapear Rutas de Ejecución a Través de la Aplicación")</f>
        <v/>
      </c>
      <c r="D12" s="16" t="inlineStr">
        <is>
          <t>N/A</t>
        </is>
      </c>
      <c r="E12" s="18" t="inlineStr">
        <is>
          <t>Not Started</t>
        </is>
      </c>
      <c r="F12" s="18" t="n"/>
    </row>
    <row r="13" ht="33" customHeight="1" s="82">
      <c r="A13" s="19" t="n"/>
      <c r="B13" s="34" t="inlineStr">
        <is>
          <t>WSTG-INFO-08</t>
        </is>
      </c>
      <c r="C13" s="15">
        <f>HYPERLINK("https://owasp.org/www-project-web-security-testing-guide/latest/4-Web_Application_Security_Testing/01-Information_Gathering/08-Fingerprint_Web_Application_Framework", "Huella Digital del Framework de Aplicación Web")</f>
        <v/>
      </c>
      <c r="D13" s="16" t="inlineStr">
        <is>
          <t>N/A</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"Huella Digital de la Aplicación Web")</f>
        <v/>
      </c>
      <c r="D14" s="16" t="inlineStr">
        <is>
          <t>N/A</t>
        </is>
      </c>
      <c r="E14" s="18" t="inlineStr">
        <is>
          <t>Not Started</t>
        </is>
      </c>
      <c r="F14" s="18" t="n"/>
    </row>
    <row r="15" ht="16.5" customHeight="1" s="82">
      <c r="A15" s="19" t="n"/>
      <c r="B15" s="34" t="inlineStr">
        <is>
          <t>WSTG-INFO-10</t>
        </is>
      </c>
      <c r="C15" s="15">
        <f>HYPERLINK("https://owasp.org/www-project-web-security-testing-guide/latest/4-Web_Application_Security_Testing/01-Information_Gathering/10-Map_Application_Architecture", "Mapear Arquitectura de la Aplicación")</f>
        <v/>
      </c>
      <c r="D15" s="16" t="inlineStr">
        <is>
          <t>N/A</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33" customHeight="1" s="82">
      <c r="A18" s="19" t="n"/>
      <c r="B18" s="34" t="inlineStr">
        <is>
          <t>WSTG-CONF-01</t>
        </is>
      </c>
      <c r="C18" s="15">
        <f>HYPERLINK("https://owasp.org/www-project-web-security-testing-guide/latest/4-Web_Application_Security_Testing/02-Configuration_and_Deployment_Management_Testing/01-Test_Network_Infrastructure_Configuration", "Probar Configuración de Infraestructura de Red")</f>
        <v/>
      </c>
      <c r="D18" s="16" t="inlineStr">
        <is>
          <t>N/A</t>
        </is>
      </c>
      <c r="E18" s="18" t="inlineStr">
        <is>
          <t>Not Started</t>
        </is>
      </c>
      <c r="F18" s="18" t="n"/>
    </row>
    <row r="19" ht="33" customHeight="1" s="82">
      <c r="A19" s="19" t="n"/>
      <c r="B19" s="34" t="inlineStr">
        <is>
          <t>WSTG-CONF-02</t>
        </is>
      </c>
      <c r="C19" s="15">
        <f>HYPERLINK("https://owasp.org/www-project-web-security-testing-guide/latest/4-Web_Application_Security_Testing/02-Configuration_and_Deployment_Management_Testing/02-Test_Application_Platform_Configuration", "Probar Configuración de Plataforma de Aplicación")</f>
        <v/>
      </c>
      <c r="D19" s="16" t="inlineStr">
        <is>
          <t>N/A</t>
        </is>
      </c>
      <c r="E19" s="18" t="inlineStr">
        <is>
          <t>Not Started</t>
        </is>
      </c>
      <c r="F19" s="18" t="n"/>
    </row>
    <row r="20" ht="33"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"Probar Manejo de Extensiones de Archivo para Información Sensible")</f>
        <v/>
      </c>
      <c r="D20" s="16" t="inlineStr">
        <is>
          <t>N/A</t>
        </is>
      </c>
      <c r="E20" s="18" t="inlineStr">
        <is>
          <t>Not Started</t>
        </is>
      </c>
      <c r="F20" s="18" t="n"/>
    </row>
    <row r="21" ht="49.5"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"Revisar Archivos Antiguos de Respaldo y No Referenciados para Información Sensible")</f>
        <v/>
      </c>
      <c r="D21" s="16" t="inlineStr">
        <is>
          <t>N/A</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"Enumerar Interfaces de Administración de Infraestructura y Aplicación")</f>
        <v/>
      </c>
      <c r="D22" s="16" t="inlineStr">
        <is>
          <t>N/A</t>
        </is>
      </c>
      <c r="E22" s="18" t="inlineStr">
        <is>
          <t>Not Started</t>
        </is>
      </c>
      <c r="F22" s="18" t="n"/>
    </row>
    <row r="23" ht="16.5" customHeight="1" s="82">
      <c r="A23" s="19" t="n"/>
      <c r="B23" s="34" t="inlineStr">
        <is>
          <t>WSTG-CONF-06</t>
        </is>
      </c>
      <c r="C23" s="15">
        <f>HYPERLINK("https://owasp.org/www-project-web-security-testing-guide/latest/4-Web_Application_Security_Testing/02-Configuration_and_Deployment_Management_Testing/06-Test_HTTP_Methods", "Probar Métodos HTTP")</f>
        <v/>
      </c>
      <c r="D23" s="16" t="inlineStr">
        <is>
          <t>N/A</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"Prueba de HTTP Strict Transport Security")</f>
        <v/>
      </c>
      <c r="D24" s="16" t="inlineStr">
        <is>
          <t>N/A</t>
        </is>
      </c>
      <c r="E24" s="18" t="inlineStr">
        <is>
          <t>Not Started</t>
        </is>
      </c>
      <c r="F24" s="18" t="n"/>
    </row>
    <row r="25" ht="16.5" customHeight="1" s="82">
      <c r="A25" s="19" t="n"/>
      <c r="B25" s="34" t="inlineStr">
        <is>
          <t>WSTG-CONF-08</t>
        </is>
      </c>
      <c r="C25" s="15">
        <f>HYPERLINK("https://owasp.org/www-project-web-security-testing-guide/latest/4-Web_Application_Security_Testing/02-Configuration_and_Deployment_Management_Testing/08-Test_RIA_Cross_Domain_Policy", "Probar Política de Dominio Cruzado RIA")</f>
        <v/>
      </c>
      <c r="D25" s="16" t="inlineStr">
        <is>
          <t>N/A</t>
        </is>
      </c>
      <c r="E25" s="18" t="inlineStr">
        <is>
          <t>Not Started</t>
        </is>
      </c>
      <c r="F25" s="18" t="n"/>
    </row>
    <row r="26" ht="16.5" customHeight="1" s="82">
      <c r="A26" s="19" t="n"/>
      <c r="B26" s="34" t="inlineStr">
        <is>
          <t>WSTG-CONF-09</t>
        </is>
      </c>
      <c r="C26" s="15">
        <f>HYPERLINK("https://owasp.org/www-project-web-security-testing-guide/latest/4-Web_Application_Security_Testing/02-Configuration_and_Deployment_Management_Testing/09-Test_File_Permission", "Probar Permisos de Archivo")</f>
        <v/>
      </c>
      <c r="D26" s="16" t="inlineStr">
        <is>
          <t>N/A</t>
        </is>
      </c>
      <c r="E26" s="18" t="inlineStr">
        <is>
          <t>Not Started</t>
        </is>
      </c>
      <c r="F26" s="18" t="n"/>
    </row>
    <row r="27" ht="16.5" customHeight="1" s="82">
      <c r="A27" s="19" t="n"/>
      <c r="B27" s="34" t="inlineStr">
        <is>
          <t>WSTG-CONF-10</t>
        </is>
      </c>
      <c r="C27" s="15">
        <f>HYPERLINK("https://owasp.org/www-project-web-security-testing-guide/latest/4-Web_Application_Security_Testing/02-Configuration_and_Deployment_Management_Testing/10-Test_for_Subdomain_Takeover", "Probar Subdomain Takeover")</f>
        <v/>
      </c>
      <c r="D27" s="16" t="inlineStr">
        <is>
          <t>N/A</t>
        </is>
      </c>
      <c r="E27" s="18" t="inlineStr">
        <is>
          <t>Not Started</t>
        </is>
      </c>
      <c r="F27" s="18" t="n"/>
    </row>
    <row r="28" ht="16.5" customHeight="1" s="82">
      <c r="A28" s="19" t="n"/>
      <c r="B28" s="34" t="inlineStr">
        <is>
          <t>WSTG-CONF-11</t>
        </is>
      </c>
      <c r="C28" s="15">
        <f>HYPERLINK("https://owasp.org/www-project-web-security-testing-guide/latest/4-Web_Application_Security_Testing/02-Configuration_and_Deployment_Management_Testing/11-Test_Cloud_Storage", "Probar Almacenamiento en la Nube")</f>
        <v/>
      </c>
      <c r="D28" s="16" t="inlineStr">
        <is>
          <t>N/A</t>
        </is>
      </c>
      <c r="E28" s="18" t="inlineStr">
        <is>
          <t>Not Started</t>
        </is>
      </c>
      <c r="F28" s="18" t="n"/>
    </row>
    <row r="29" ht="16.5" customHeight="1" s="82">
      <c r="A29" s="19" t="n"/>
      <c r="B29" s="34" t="inlineStr">
        <is>
          <t>WSTG-CONF-12</t>
        </is>
      </c>
      <c r="C29" s="15">
        <f>HYPERLINK("https://owasp.org/www-project-web-security-testing-guide/latest/4-Web_Application_Security_Testing/02-Configuration_and_Deployment_Management_Testing/12-Test_for_Content_Security_Policy", "Pruebas de Content Security Policy")</f>
        <v/>
      </c>
      <c r="D29" s="16" t="inlineStr">
        <is>
          <t>N/A</t>
        </is>
      </c>
      <c r="E29" s="18" t="inlineStr">
        <is>
          <t>Not Started</t>
        </is>
      </c>
      <c r="F29" s="18" t="n"/>
    </row>
    <row r="30" ht="16.5" customHeight="1" s="82">
      <c r="A30" s="19" t="n"/>
      <c r="B30" s="34" t="inlineStr">
        <is>
          <t>WSTG-CONF-13</t>
        </is>
      </c>
      <c r="C30" s="15">
        <f>HYPERLINK("https://owasp.org/www-project-web-security-testing-guide/latest/4-Web_Application_Security_Testing/02-Configuration_and_Deployment_Management_Testing/13-Test_for_Path_Confusion", "Probar Path Confusion")</f>
        <v/>
      </c>
      <c r="D30" s="16" t="inlineStr">
        <is>
          <t>N/A</t>
        </is>
      </c>
      <c r="E30" s="18" t="inlineStr">
        <is>
          <t>Not Started</t>
        </is>
      </c>
      <c r="F30" s="18" t="n"/>
    </row>
    <row r="31" ht="66" customHeight="1" s="82">
      <c r="A31" s="19" t="n"/>
      <c r="B31" s="34" t="inlineStr">
        <is>
          <t>WSTG-CONF-14</t>
        </is>
      </c>
      <c r="C31" s="15">
        <f>HYPERLINK("https://owasp.org/www-project-web-security-testing-guide/latest/4-Web_Application_Security_Testing/02-Configuration_and_Deployment_Management_Testing/14-Test_Other_HTTP_Security_Header_Misconfigurations", "Test Other HTTP Security Header Misconfigurations")</f>
        <v/>
      </c>
      <c r="D31" s="16" t="inlineStr">
        <is>
          <t>- Identify improperly configured security headers.
- Assess the impact of misconfigured security headers.
- Validate the correct implementation of required security headers.</t>
        </is>
      </c>
      <c r="E31" s="18" t="inlineStr">
        <is>
          <t>Not Started</t>
        </is>
      </c>
      <c r="F31" s="18" t="n"/>
    </row>
    <row r="32" ht="15" customHeight="1" s="82">
      <c r="A32" s="97" t="n"/>
      <c r="B32" s="98" t="n"/>
      <c r="C32" s="99" t="n"/>
      <c r="D32" s="99" t="n"/>
      <c r="E32" s="99" t="n"/>
      <c r="F32" s="99" t="n"/>
    </row>
    <row r="33" ht="47.25" customHeight="1" s="82">
      <c r="A33" s="9" t="n"/>
      <c r="B33" s="100" t="inlineStr">
        <is>
          <t>Identity Management Testing</t>
        </is>
      </c>
      <c r="C33" s="101" t="inlineStr">
        <is>
          <t>Test Name</t>
        </is>
      </c>
      <c r="D33" s="101" t="inlineStr">
        <is>
          <t>Objectives</t>
        </is>
      </c>
      <c r="E33" s="101" t="inlineStr">
        <is>
          <t>Status</t>
        </is>
      </c>
      <c r="F33" s="101" t="inlineStr">
        <is>
          <t>Notes</t>
        </is>
      </c>
    </row>
    <row r="34" ht="16.5" customHeight="1" s="82">
      <c r="A34" s="19" t="n"/>
      <c r="B34" s="34" t="inlineStr">
        <is>
          <t>WSTG-IDNT-01</t>
        </is>
      </c>
      <c r="C34" s="15">
        <f>HYPERLINK("https://owasp.org/www-project-web-security-testing-guide/latest/4-Web_Application_Security_Testing/03-Identity_Management_Testing/01-Test_Role_Definitions", "Prueba de Definiciones de Roles")</f>
        <v/>
      </c>
      <c r="D34" s="16" t="inlineStr">
        <is>
          <t>N/A</t>
        </is>
      </c>
      <c r="E34" s="18" t="inlineStr">
        <is>
          <t>Not Started</t>
        </is>
      </c>
      <c r="F34" s="18" t="n"/>
    </row>
    <row r="35" ht="16.5" customHeight="1" s="82">
      <c r="A35" s="19" t="n"/>
      <c r="B35" s="34" t="inlineStr">
        <is>
          <t>WSTG-IDNT-02</t>
        </is>
      </c>
      <c r="C35" s="15">
        <f>HYPERLINK("https://owasp.org/www-project-web-security-testing-guide/latest/4-Web_Application_Security_Testing/03-Identity_Management_Testing/02-Test_User_Registration_Process", "Probar Proceso de Registro de Usuario")</f>
        <v/>
      </c>
      <c r="D35" s="16" t="inlineStr">
        <is>
          <t>N/A</t>
        </is>
      </c>
      <c r="E35" s="18" t="inlineStr">
        <is>
          <t>Not Started</t>
        </is>
      </c>
      <c r="F35" s="18" t="n"/>
    </row>
    <row r="36" ht="16.5" customHeight="1" s="82">
      <c r="A36" s="19" t="n"/>
      <c r="B36" s="34" t="inlineStr">
        <is>
          <t>WSTG-IDNT-03</t>
        </is>
      </c>
      <c r="C36" s="15">
        <f>HYPERLINK("https://owasp.org/www-project-web-security-testing-guide/latest/4-Web_Application_Security_Testing/03-Identity_Management_Testing/03-Test_Account_Provisioning_Process", "Probar Proceso de Provisioning de Cuenta")</f>
        <v/>
      </c>
      <c r="D36" s="16" t="inlineStr">
        <is>
          <t>N/A</t>
        </is>
      </c>
      <c r="E36" s="18" t="inlineStr">
        <is>
          <t>Not Started</t>
        </is>
      </c>
      <c r="F36" s="18" t="n"/>
    </row>
    <row r="37" ht="49.5" customHeight="1" s="82">
      <c r="A37" s="19" t="n"/>
      <c r="B37" s="34" t="inlineStr">
        <is>
          <t>WSTG-IDNT-04</t>
        </is>
      </c>
      <c r="C37" s="15">
        <f>HYPERLINK("https://owasp.org/www-project-web-security-testing-guide/latest/4-Web_Application_Security_Testing/03-Identity_Management_Testing/04-Testing_for_Account_Enumeration_and_Guessable_User_Account", "Testing for Account Enumeration and Guessable User Account")</f>
        <v/>
      </c>
      <c r="D37" s="16" t="inlineStr">
        <is>
          <t>- Review processes that pertain to user identification (*e.g.* registration, login, etc.).
- Enumerate users where possible through response analysis.</t>
        </is>
      </c>
      <c r="E37" s="18" t="inlineStr">
        <is>
          <t>Not Started</t>
        </is>
      </c>
      <c r="F37" s="18" t="n"/>
    </row>
    <row r="38" ht="33" customHeight="1" s="82">
      <c r="A38" s="19" t="n"/>
      <c r="B38" s="34" t="inlineStr">
        <is>
          <t>WSTG-IDNT-05</t>
        </is>
      </c>
      <c r="C38" s="15">
        <f>HYPERLINK("https://owasp.org/www-project-web-security-testing-guide/latest/4-Web_Application_Security_Testing/03-Identity_Management_Testing/05-Testing_for_Weak_or_Unenforced_Username_Policy", "Pruebas de Política de Nombre de Usuario Débil o No Impuesta")</f>
        <v/>
      </c>
      <c r="D38" s="16" t="inlineStr">
        <is>
          <t>N/A</t>
        </is>
      </c>
      <c r="E38" s="18" t="inlineStr">
        <is>
          <t>Not Started</t>
        </is>
      </c>
      <c r="F38" s="18" t="n"/>
    </row>
    <row r="39" ht="15" customHeight="1" s="82">
      <c r="A39" s="97" t="n"/>
      <c r="B39" s="98" t="n"/>
      <c r="C39" s="99" t="n"/>
      <c r="D39" s="99" t="n"/>
      <c r="E39" s="99" t="n"/>
      <c r="F39" s="99" t="n"/>
    </row>
    <row r="40" ht="47.25" customHeight="1" s="82">
      <c r="A40" s="9" t="n"/>
      <c r="B40" s="100" t="inlineStr">
        <is>
          <t>Authentication Testing</t>
        </is>
      </c>
      <c r="C40" s="101" t="inlineStr">
        <is>
          <t>Test Name</t>
        </is>
      </c>
      <c r="D40" s="101" t="inlineStr">
        <is>
          <t>Objectives</t>
        </is>
      </c>
      <c r="E40" s="101" t="inlineStr">
        <is>
          <t>Status</t>
        </is>
      </c>
      <c r="F40" s="101" t="inlineStr">
        <is>
          <t>Notes</t>
        </is>
      </c>
    </row>
    <row r="41" ht="33" customHeight="1" s="82">
      <c r="A41" s="19" t="n"/>
      <c r="B41" s="34" t="inlineStr">
        <is>
          <t>WSTG-ATHN-01</t>
        </is>
      </c>
      <c r="C41" s="15">
        <f>HYPERLINK("https://owasp.org/www-project-web-security-testing-guide/latest/4-Web_Application_Security_Testing/04-Authentication_Testing/01-Testing_for_Credentials_Transported_over_an_Encrypted_Channel", "Prueba de credenciales transportadas a través de un canal encriptado")</f>
        <v/>
      </c>
      <c r="D41" s="16" t="inlineStr">
        <is>
          <t>N/A</t>
        </is>
      </c>
      <c r="E41" s="18" t="inlineStr">
        <is>
          <t>Not Started</t>
        </is>
      </c>
      <c r="F41" s="18" t="n"/>
    </row>
    <row r="42" ht="16.5" customHeight="1" s="82">
      <c r="A42" s="19" t="n"/>
      <c r="B42" s="34" t="inlineStr">
        <is>
          <t>WSTG-ATHN-02</t>
        </is>
      </c>
      <c r="C42" s="15">
        <f>HYPERLINK("https://owasp.org/www-project-web-security-testing-guide/latest/4-Web_Application_Security_Testing/04-Authentication_Testing/02-Testing_for_Default_Credentials", "Pruebas de credenciales predeterminadas")</f>
        <v/>
      </c>
      <c r="D42" s="16" t="inlineStr">
        <is>
          <t>N/A</t>
        </is>
      </c>
      <c r="E42" s="18" t="inlineStr">
        <is>
          <t>Not Started</t>
        </is>
      </c>
      <c r="F42" s="18" t="n"/>
    </row>
    <row r="43" ht="16.5" customHeight="1" s="82">
      <c r="A43" s="19" t="n"/>
      <c r="B43" s="34" t="inlineStr">
        <is>
          <t>WSTG-ATHN-03</t>
        </is>
      </c>
      <c r="C43" s="15">
        <f>HYPERLINK("https://owasp.org/www-project-web-security-testing-guide/latest/4-Web_Application_Security_Testing/04-Authentication_Testing/03-Testing_for_Weak_Lock_Out_Mechanism", "Prueba de Mecanismos de Bloqueo Débiles")</f>
        <v/>
      </c>
      <c r="D43" s="16" t="inlineStr">
        <is>
          <t>N/A</t>
        </is>
      </c>
      <c r="E43" s="18" t="inlineStr">
        <is>
          <t>Not Started</t>
        </is>
      </c>
      <c r="F43" s="18" t="n"/>
    </row>
    <row r="44" ht="33" customHeight="1" s="82">
      <c r="A44" s="19" t="n"/>
      <c r="B44" s="34" t="inlineStr">
        <is>
          <t>WSTG-ATHN-04</t>
        </is>
      </c>
      <c r="C44" s="15">
        <f>HYPERLINK("https://owasp.org/www-project-web-security-testing-guide/latest/4-Web_Application_Security_Testing/04-Authentication_Testing/04-Testing_for_Bypassing_Authentication_Schema", "Pruebas de omisión del esquema de autenticación")</f>
        <v/>
      </c>
      <c r="D44" s="16" t="inlineStr">
        <is>
          <t>N/A</t>
        </is>
      </c>
      <c r="E44" s="18" t="inlineStr">
        <is>
          <t>Not Started</t>
        </is>
      </c>
      <c r="F44" s="18" t="n"/>
    </row>
    <row r="45" ht="33" customHeight="1" s="82">
      <c r="A45" s="19" t="n"/>
      <c r="B45" s="34" t="inlineStr">
        <is>
          <t>WSTG-ATHN-05</t>
        </is>
      </c>
      <c r="C45" s="15">
        <f>HYPERLINK("https://owasp.org/www-project-web-security-testing-guide/latest/4-Web_Application_Security_Testing/04-Authentication_Testing/05-Testing_for_Vulnerable_Remember_Password", "Pruebas de contraseñas recordadas vulnerables")</f>
        <v/>
      </c>
      <c r="D45" s="16" t="inlineStr">
        <is>
          <t>- Validar que la sesión generada se gestione de manera segura y no ponga en peligro las credenciales del usuario.</t>
        </is>
      </c>
      <c r="E45" s="18" t="inlineStr">
        <is>
          <t>Not Started</t>
        </is>
      </c>
      <c r="F45" s="18" t="n"/>
    </row>
    <row r="46" ht="49.5" customHeight="1" s="82">
      <c r="A46" s="19" t="n"/>
      <c r="B46" s="34" t="inlineStr">
        <is>
          <t>WSTG-ATHN-06</t>
        </is>
      </c>
      <c r="C46" s="15">
        <f>HYPERLINK("https://owasp.org/www-project-web-security-testing-guide/latest/4-Web_Application_Security_Testing/04-Authentication_Testing/06-Testing_for_Browser_Cache_Weaknesses", "Pruebas de debilidades en la caché del navegador")</f>
        <v/>
      </c>
      <c r="D46" s="16" t="inlineStr">
        <is>
          <t>- Revisar si la aplicación almacena información sensible en el lado del cliente.
- Revisar si se puede acceder sin autorización.</t>
        </is>
      </c>
      <c r="E46" s="18" t="inlineStr">
        <is>
          <t>Not Started</t>
        </is>
      </c>
      <c r="F46" s="18" t="n"/>
    </row>
    <row r="47" ht="33" customHeight="1" s="82">
      <c r="A47" s="19" t="n"/>
      <c r="B47" s="34" t="inlineStr">
        <is>
          <t>WSTG-ATHN-07</t>
        </is>
      </c>
      <c r="C47" s="15">
        <f>HYPERLINK("https://owasp.org/www-project-web-security-testing-guide/latest/4-Web_Application_Security_Testing/04-Authentication_Testing/07-Testing_for_Weak_Authentication_Methods", "Pruebas de métodos de autenticación débiles")</f>
        <v/>
      </c>
      <c r="D47" s="16" t="inlineStr">
        <is>
          <t>N/A</t>
        </is>
      </c>
      <c r="E47" s="18" t="inlineStr">
        <is>
          <t>Not Started</t>
        </is>
      </c>
      <c r="F47" s="18" t="n"/>
    </row>
    <row r="48" ht="33" customHeight="1" s="82">
      <c r="A48" s="19" t="n"/>
      <c r="B48" s="34" t="inlineStr">
        <is>
          <t>WSTG-ATHN-08</t>
        </is>
      </c>
      <c r="C48" s="15">
        <f>HYPERLINK("https://owasp.org/www-project-web-security-testing-guide/latest/4-Web_Application_Security_Testing/04-Authentication_Testing/08-Testing_for_Weak_Security_Question_Answer", "Pruebas de preguntas de seguridad débiles")</f>
        <v/>
      </c>
      <c r="D48" s="16" t="inlineStr">
        <is>
          <t>N/A</t>
        </is>
      </c>
      <c r="E48" s="18" t="inlineStr">
        <is>
          <t>Not Started</t>
        </is>
      </c>
      <c r="F48" s="18" t="n"/>
    </row>
    <row r="49" ht="33" customHeight="1" s="82">
      <c r="A49" s="19" t="n"/>
      <c r="B49" s="34" t="inlineStr">
        <is>
          <t>WSTG-ATHN-09</t>
        </is>
      </c>
      <c r="C49" s="15">
        <f>HYPERLINK("https://owasp.org/www-project-web-security-testing-guide/latest/4-Web_Application_Security_Testing/04-Authentication_Testing/09-Testing_for_Weak_Password_Change_or_Reset_Functionalities", "Pruebas de Funcionalidades Débiles de Cambio o Restablecimiento de Contraseña")</f>
        <v/>
      </c>
      <c r="D49" s="16" t="inlineStr">
        <is>
          <t>N/A</t>
        </is>
      </c>
      <c r="E49" s="18" t="inlineStr">
        <is>
          <t>Not Started</t>
        </is>
      </c>
      <c r="F49" s="18" t="n"/>
    </row>
    <row r="50" ht="33" customHeight="1" s="82">
      <c r="A50" s="19" t="n"/>
      <c r="B50" s="34" t="inlineStr">
        <is>
          <t>WSTG-ATHN-10</t>
        </is>
      </c>
      <c r="C50" s="15">
        <f>HYPERLINK("https://owasp.org/www-project-web-security-testing-guide/latest/4-Web_Application_Security_Testing/04-Authentication_Testing/10-Testing_for_Weaker_Authentication_in_Alternative_Channel", "Pruebas de autenticación más débil en canales alternativos")</f>
        <v/>
      </c>
      <c r="D50" s="16" t="inlineStr">
        <is>
          <t>N/A</t>
        </is>
      </c>
      <c r="E50" s="18" t="inlineStr">
        <is>
          <t>Not Started</t>
        </is>
      </c>
      <c r="F50" s="18" t="n"/>
    </row>
    <row r="51" ht="33" customHeight="1" s="82">
      <c r="A51" s="19" t="n"/>
      <c r="B51" s="34" t="inlineStr">
        <is>
          <t>WSTG-ATHN-11</t>
        </is>
      </c>
      <c r="C51" s="15">
        <f>HYPERLINK("https://owasp.org/www-project-web-security-testing-guide/latest/4-Web_Application_Security_Testing/04-Authentication_Testing/11-Testing_Multi-Factor_Authentication", "Pruebas de Autenticación Multifactor (MFA)")</f>
        <v/>
      </c>
      <c r="D51" s="16" t="inlineStr">
        <is>
          <t>N/A</t>
        </is>
      </c>
      <c r="E51" s="18" t="inlineStr">
        <is>
          <t>Not Started</t>
        </is>
      </c>
      <c r="F51" s="18" t="n"/>
    </row>
    <row r="52" ht="15" customHeight="1" s="82">
      <c r="A52" s="97" t="n"/>
      <c r="B52" s="98" t="n"/>
      <c r="C52" s="99" t="n"/>
      <c r="D52" s="99" t="n"/>
      <c r="E52" s="99" t="n"/>
      <c r="F52" s="99" t="n"/>
    </row>
    <row r="53" ht="47.25" customHeight="1" s="82">
      <c r="A53" s="9" t="n"/>
      <c r="B53" s="100" t="inlineStr">
        <is>
          <t>Authorization Testing</t>
        </is>
      </c>
      <c r="C53" s="101" t="inlineStr">
        <is>
          <t>Test Name</t>
        </is>
      </c>
      <c r="D53" s="101" t="inlineStr">
        <is>
          <t>Objectives</t>
        </is>
      </c>
      <c r="E53" s="101" t="inlineStr">
        <is>
          <t>Status</t>
        </is>
      </c>
      <c r="F53" s="101" t="inlineStr">
        <is>
          <t>Notes</t>
        </is>
      </c>
    </row>
    <row r="54" ht="33" customHeight="1" s="82">
      <c r="A54" s="19" t="n"/>
      <c r="B54" s="34" t="inlineStr">
        <is>
          <t>WSTG-ATHZ-01</t>
        </is>
      </c>
      <c r="C54" s="15">
        <f>HYPERLINK("https://owasp.org/www-project-web-security-testing-guide/latest/4-Web_Application_Security_Testing/05-Authorization_Testing/01-Testing_Directory_Traversal_File_Include", "Pruebas de Traversal de Directorio e Inclusión de Archivos")</f>
        <v/>
      </c>
      <c r="D54" s="16" t="inlineStr">
        <is>
          <t>N/A</t>
        </is>
      </c>
      <c r="E54" s="18" t="inlineStr">
        <is>
          <t>Not Started</t>
        </is>
      </c>
      <c r="F54" s="18" t="n"/>
    </row>
    <row r="55" ht="33" customHeight="1" s="82">
      <c r="A55" s="19" t="n"/>
      <c r="B55" s="34" t="inlineStr">
        <is>
          <t>WSTG-ATHZ-02</t>
        </is>
      </c>
      <c r="C55" s="15">
        <f>HYPERLINK("https://owasp.org/www-project-web-security-testing-guide/latest/4-Web_Application_Security_Testing/05-Authorization_Testing/02-Testing_for_Bypassing_Authorization_Schema", "Pruebas de omisión del esquema de autorización")</f>
        <v/>
      </c>
      <c r="D55" s="16" t="inlineStr">
        <is>
          <t>N/A</t>
        </is>
      </c>
      <c r="E55" s="18" t="inlineStr">
        <is>
          <t>Not Started</t>
        </is>
      </c>
      <c r="F55" s="18" t="n"/>
    </row>
    <row r="56" ht="16.5" customHeight="1" s="82">
      <c r="A56" s="19" t="n"/>
      <c r="B56" s="34" t="inlineStr">
        <is>
          <t>WSTG-ATHZ-03</t>
        </is>
      </c>
      <c r="C56" s="15">
        <f>HYPERLINK("https://owasp.org/www-project-web-security-testing-guide/latest/4-Web_Application_Security_Testing/05-Authorization_Testing/03-Testing_for_Privilege_Escalation", "Pruebas de Escalada de Privilegios")</f>
        <v/>
      </c>
      <c r="D56" s="16" t="inlineStr">
        <is>
          <t>N/A</t>
        </is>
      </c>
      <c r="E56" s="18" t="inlineStr">
        <is>
          <t>Not Started</t>
        </is>
      </c>
      <c r="F56" s="18" t="n"/>
    </row>
    <row r="57" ht="66" customHeight="1" s="82">
      <c r="A57" s="19" t="n"/>
      <c r="B57" s="34" t="inlineStr">
        <is>
          <t>WSTG-ATHZ-04</t>
        </is>
      </c>
      <c r="C57" s="15">
        <f>HYPERLINK("https://owasp.org/www-project-web-security-testing-guide/latest/4-Web_Application_Security_Testing/05-Authorization_Testing/04-Testing_for_Insecure_Direct_Object_References", "Pruebas de referencias directas a objetos inseguras")</f>
        <v/>
      </c>
      <c r="D57" s="16" t="inlineStr">
        <is>
          <t>- Identificar puntos donde pueden ocurrir referencias a objetos.
- Evaluar las medidas de control de acceso y si son vulnerables a IDOR.</t>
        </is>
      </c>
      <c r="E57" s="18" t="inlineStr">
        <is>
          <t>Not Started</t>
        </is>
      </c>
      <c r="F57" s="18" t="n"/>
    </row>
    <row r="58" ht="33" customHeight="1" s="82">
      <c r="A58" s="19" t="n"/>
      <c r="B58" s="34" t="inlineStr">
        <is>
          <t>WSTG-ATHZ-05</t>
        </is>
      </c>
      <c r="C58" s="15">
        <f>HYPERLINK("https://owasp.org/www-project-web-security-testing-guide/latest/4-Web_Application_Security_Testing/05-Authorization_Testing/05-Testing_for_OAuth_Weaknesses", "Testing for OAuth Weaknesses")</f>
        <v/>
      </c>
      <c r="D58" s="16" t="inlineStr">
        <is>
          <t>- Determine if OAuth2 implementation is vulnerable or using a deprecated or custom implementation.</t>
        </is>
      </c>
      <c r="E58" s="18" t="inlineStr">
        <is>
          <t>Not Started</t>
        </is>
      </c>
      <c r="F58" s="18" t="n"/>
    </row>
    <row r="59" ht="15" customHeight="1" s="82">
      <c r="A59" s="97" t="n"/>
      <c r="B59" s="98" t="n"/>
      <c r="C59" s="99" t="n"/>
      <c r="D59" s="99" t="n"/>
      <c r="E59" s="99" t="n"/>
      <c r="F59" s="99" t="n"/>
    </row>
    <row r="60" ht="47.25" customHeight="1" s="82">
      <c r="A60" s="9" t="n"/>
      <c r="B60" s="100" t="inlineStr">
        <is>
          <t>Session Management Testing</t>
        </is>
      </c>
      <c r="C60" s="101" t="inlineStr">
        <is>
          <t>Test Name</t>
        </is>
      </c>
      <c r="D60" s="101" t="inlineStr">
        <is>
          <t>Objectives</t>
        </is>
      </c>
      <c r="E60" s="101" t="inlineStr">
        <is>
          <t>Status</t>
        </is>
      </c>
      <c r="F60" s="101" t="inlineStr">
        <is>
          <t>Notes</t>
        </is>
      </c>
    </row>
    <row r="61" ht="33" customHeight="1" s="82">
      <c r="A61" s="19" t="n"/>
      <c r="B61" s="34" t="inlineStr">
        <is>
          <t>WSTG-SESS-01</t>
        </is>
      </c>
      <c r="C61" s="15">
        <f>HYPERLINK("https://owasp.org/www-project-web-security-testing-guide/latest/4-Web_Application_Security_Testing/06-Session_Management_Testing/01-Testing_for_Session_Management_Schema", "Pruebas del Esquema de Gestión de Sesiones")</f>
        <v/>
      </c>
      <c r="D61" s="16" t="inlineStr">
        <is>
          <t>N/A</t>
        </is>
      </c>
      <c r="E61" s="18" t="inlineStr">
        <is>
          <t>Not Started</t>
        </is>
      </c>
      <c r="F61" s="18" t="n"/>
    </row>
    <row r="62" ht="16.5" customHeight="1" s="82">
      <c r="A62" s="19" t="n"/>
      <c r="B62" s="34" t="inlineStr">
        <is>
          <t>WSTG-SESS-02</t>
        </is>
      </c>
      <c r="C62" s="15">
        <f>HYPERLINK("https://owasp.org/www-project-web-security-testing-guide/latest/4-Web_Application_Security_Testing/06-Session_Management_Testing/02-Testing_for_Cookies_Attributes", "Pruebas de atributos de cookies")</f>
        <v/>
      </c>
      <c r="D62" s="16" t="inlineStr">
        <is>
          <t>N/A</t>
        </is>
      </c>
      <c r="E62" s="18" t="inlineStr">
        <is>
          <t>Not Started</t>
        </is>
      </c>
      <c r="F62" s="18" t="n"/>
    </row>
    <row r="63" ht="16.5" customHeight="1" s="82">
      <c r="A63" s="19" t="n"/>
      <c r="B63" s="34" t="inlineStr">
        <is>
          <t>WSTG-SESS-03</t>
        </is>
      </c>
      <c r="C63" s="15">
        <f>HYPERLINK("https://owasp.org/www-project-web-security-testing-guide/latest/4-Web_Application_Security_Testing/06-Session_Management_Testing/03-Testing_for_Session_Fixation", "Prueba de fijación de sesión")</f>
        <v/>
      </c>
      <c r="D63" s="16" t="inlineStr">
        <is>
          <t>N/A</t>
        </is>
      </c>
      <c r="E63" s="18" t="inlineStr">
        <is>
          <t>Not Started</t>
        </is>
      </c>
      <c r="F63" s="18" t="n"/>
    </row>
    <row r="64" ht="16.5" customHeight="1" s="82">
      <c r="A64" s="19" t="n"/>
      <c r="B64" s="34" t="inlineStr">
        <is>
          <t>WSTG-SESS-04</t>
        </is>
      </c>
      <c r="C64" s="15">
        <f>HYPERLINK("https://owasp.org/www-project-web-security-testing-guide/latest/4-Web_Application_Security_Testing/06-Session_Management_Testing/04-Testing_for_Exposed_Session_Variables", "Pruebas de Variables de Sesión Expuestas")</f>
        <v/>
      </c>
      <c r="D64" s="16" t="inlineStr">
        <is>
          <t>N/A</t>
        </is>
      </c>
      <c r="E64" s="18" t="inlineStr">
        <is>
          <t>Not Started</t>
        </is>
      </c>
      <c r="F64" s="18" t="n"/>
    </row>
    <row r="65" ht="33" customHeight="1" s="82">
      <c r="A65" s="19" t="n"/>
      <c r="B65" s="34" t="inlineStr">
        <is>
          <t>WSTG-SESS-05</t>
        </is>
      </c>
      <c r="C65" s="15">
        <f>HYPERLINK("https://owasp.org/www-project-web-security-testing-guide/latest/4-Web_Application_Security_Testing/06-Session_Management_Testing/05-Testing_for_Cross_Site_Request_Forgery", "Prueba de Falsificación de Solicitud entre Sitios")</f>
        <v/>
      </c>
      <c r="D65" s="16" t="inlineStr">
        <is>
          <t>- Determinar si es posible iniciar solicitudes en nombre de un usuario que no son iniciadas por el usuario.</t>
        </is>
      </c>
      <c r="E65" s="18" t="inlineStr">
        <is>
          <t>Not Started</t>
        </is>
      </c>
      <c r="F65" s="18" t="n"/>
    </row>
    <row r="66" ht="33" customHeight="1" s="82">
      <c r="A66" s="19" t="n"/>
      <c r="B66" s="34" t="inlineStr">
        <is>
          <t>WSTG-SESS-06</t>
        </is>
      </c>
      <c r="C66" s="15">
        <f>HYPERLINK("https://owasp.org/www-project-web-security-testing-guide/latest/4-Web_Application_Security_Testing/06-Session_Management_Testing/06-Testing_for_Logout_Functionality", "Pruebas de funcionalidad de cierre de sesión")</f>
        <v/>
      </c>
      <c r="D66" s="16" t="inlineStr">
        <is>
          <t>N/A</t>
        </is>
      </c>
      <c r="E66" s="18" t="inlineStr">
        <is>
          <t>Not Started</t>
        </is>
      </c>
      <c r="F66" s="18" t="n"/>
    </row>
    <row r="67" ht="16.5" customHeight="1" s="82">
      <c r="A67" s="19" t="n"/>
      <c r="B67" s="34" t="inlineStr">
        <is>
          <t>WSTG-SESS-07</t>
        </is>
      </c>
      <c r="C67" s="15">
        <f>HYPERLINK("https://owasp.org/www-project-web-security-testing-guide/latest/4-Web_Application_Security_Testing/06-Session_Management_Testing/07-Testing_Session_Timeout", "Prueba de tiempo de espera de sesión")</f>
        <v/>
      </c>
      <c r="D67" s="16" t="inlineStr">
        <is>
          <t>N/A</t>
        </is>
      </c>
      <c r="E67" s="18" t="inlineStr">
        <is>
          <t>Not Started</t>
        </is>
      </c>
      <c r="F67" s="18" t="n"/>
    </row>
    <row r="68" ht="16.5" customHeight="1" s="82">
      <c r="A68" s="19" t="n"/>
      <c r="B68" s="34" t="inlineStr">
        <is>
          <t>WSTG-SESS-08</t>
        </is>
      </c>
      <c r="C68" s="15">
        <f>HYPERLINK("https://owasp.org/www-project-web-security-testing-guide/latest/4-Web_Application_Security_Testing/06-Session_Management_Testing/08-Testing_for_Session_Puzzling", "Pruebas de Confusión de Sesión")</f>
        <v/>
      </c>
      <c r="D68" s="16" t="inlineStr">
        <is>
          <t>N/A</t>
        </is>
      </c>
      <c r="E68" s="18" t="inlineStr">
        <is>
          <t>Not Started</t>
        </is>
      </c>
      <c r="F68" s="18" t="n"/>
    </row>
    <row r="69" ht="16.5" customHeight="1" s="82">
      <c r="A69" s="19" t="n"/>
      <c r="B69" s="34" t="inlineStr">
        <is>
          <t>WSTG-SESS-09</t>
        </is>
      </c>
      <c r="C69" s="15">
        <f>HYPERLINK("https://owasp.org/www-project-web-security-testing-guide/latest/4-Web_Application_Security_Testing/06-Session_Management_Testing/09-Testing_for_Session_Hijacking", "Pruebas de Secuestro de Sesión")</f>
        <v/>
      </c>
      <c r="D69" s="16" t="inlineStr">
        <is>
          <t>N/A</t>
        </is>
      </c>
      <c r="E69" s="18" t="inlineStr">
        <is>
          <t>Not Started</t>
        </is>
      </c>
      <c r="F69" s="18" t="n"/>
    </row>
    <row r="70" ht="16.5" customHeight="1" s="82">
      <c r="A70" s="19" t="n"/>
      <c r="B70" s="34" t="inlineStr">
        <is>
          <t>WSTG-SESS-10</t>
        </is>
      </c>
      <c r="C70" s="15">
        <f>HYPERLINK("https://owasp.org/www-project-web-security-testing-guide/latest/4-Web_Application_Security_Testing/06-Session_Management_Testing/10-Testing_JSON_Web_Tokens", "Pruebas de JSON Web Tokens")</f>
        <v/>
      </c>
      <c r="D70" s="16" t="inlineStr">
        <is>
          <t>N/A</t>
        </is>
      </c>
      <c r="E70" s="18" t="inlineStr">
        <is>
          <t>Not Started</t>
        </is>
      </c>
      <c r="F70" s="18" t="n"/>
    </row>
    <row r="71" ht="16.5" customHeight="1" s="82">
      <c r="A71" s="19" t="n"/>
      <c r="B71" s="34" t="inlineStr">
        <is>
          <t>WSTG-SESS-11</t>
        </is>
      </c>
      <c r="C71" s="15">
        <f>HYPERLINK("https://owasp.org/www-project-web-security-testing-guide/latest/4-Web_Application_Security_Testing/06-Session_Management_Testing/11-Testing_for_Concurrent_Sessions", "Pruebas de Sesiones Concurrentes")</f>
        <v/>
      </c>
      <c r="D71" s="16" t="inlineStr">
        <is>
          <t>N/A</t>
        </is>
      </c>
      <c r="E71" s="18" t="inlineStr">
        <is>
          <t>Not Started</t>
        </is>
      </c>
      <c r="F71" s="18" t="n"/>
    </row>
    <row r="72" ht="15" customHeight="1" s="82">
      <c r="A72" s="97" t="n"/>
      <c r="B72" s="98" t="n"/>
      <c r="C72" s="99" t="n"/>
      <c r="D72" s="99" t="n"/>
      <c r="E72" s="99" t="n"/>
      <c r="F72" s="99" t="n"/>
    </row>
    <row r="73" ht="47.25" customHeight="1" s="82">
      <c r="A73" s="9" t="n"/>
      <c r="B73" s="100" t="inlineStr">
        <is>
          <t>Input Validation Testing</t>
        </is>
      </c>
      <c r="C73" s="101" t="inlineStr">
        <is>
          <t>Test Name</t>
        </is>
      </c>
      <c r="D73" s="101" t="inlineStr">
        <is>
          <t>Objectives</t>
        </is>
      </c>
      <c r="E73" s="101" t="inlineStr">
        <is>
          <t>Status</t>
        </is>
      </c>
      <c r="F73" s="101" t="inlineStr">
        <is>
          <t>Notes</t>
        </is>
      </c>
    </row>
    <row r="74" ht="33" customHeight="1" s="82">
      <c r="A74" s="19" t="n"/>
      <c r="B74" s="34" t="inlineStr">
        <is>
          <t>WSTG-INPV-01</t>
        </is>
      </c>
      <c r="C74" s="15">
        <f>HYPERLINK("https://owasp.org/www-project-web-security-testing-guide/latest/4-Web_Application_Security_Testing/07-Input_Validation_Testing/01-Testing_for_Reflected_Cross_Site_Scripting", "Pruebas de scripting entre sitios reflejado")</f>
        <v/>
      </c>
      <c r="D74" s="16" t="inlineStr">
        <is>
          <t>N/A</t>
        </is>
      </c>
      <c r="E74" s="18" t="inlineStr">
        <is>
          <t>Not Started</t>
        </is>
      </c>
      <c r="F74" s="18" t="n"/>
    </row>
    <row r="75" ht="33" customHeight="1" s="82">
      <c r="A75" s="19" t="n"/>
      <c r="B75" s="34" t="inlineStr">
        <is>
          <t>WSTG-INPV-02</t>
        </is>
      </c>
      <c r="C75" s="15">
        <f>HYPERLINK("https://owasp.org/www-project-web-security-testing-guide/latest/4-Web_Application_Security_Testing/07-Input_Validation_Testing/02-Testing_for_Stored_Cross_Site_Scripting", "Pruebas de Scripting entre Sitios Almacenado")</f>
        <v/>
      </c>
      <c r="D75" s="16" t="inlineStr">
        <is>
          <t>N/A</t>
        </is>
      </c>
      <c r="E75" s="18" t="inlineStr">
        <is>
          <t>Not Started</t>
        </is>
      </c>
      <c r="F75" s="18" t="n"/>
    </row>
    <row r="76" ht="16.5" customHeight="1" s="82">
      <c r="A76" s="19" t="n"/>
      <c r="B76" s="34" t="inlineStr">
        <is>
          <t>WSTG-INPV-03</t>
        </is>
      </c>
      <c r="C76" s="15">
        <f>HYPERLINK("https://owasp.org/www-project-web-security-testing-guide/latest/4-Web_Application_Security_Testing/07-Input_Validation_Testing/03-Testing_for_HTTP_Verb_Tampering", "Pruebas de manipulación de verbos HTTP")</f>
        <v/>
      </c>
      <c r="D76" s="16" t="inlineStr">
        <is>
          <t>N/A</t>
        </is>
      </c>
      <c r="E76" s="18" t="inlineStr">
        <is>
          <t>Not Started</t>
        </is>
      </c>
      <c r="F76" s="18" t="n"/>
    </row>
    <row r="77" ht="33" customHeight="1" s="82">
      <c r="A77" s="19" t="n"/>
      <c r="B77" s="34" t="inlineStr">
        <is>
          <t>WSTG-INPV-04</t>
        </is>
      </c>
      <c r="C77" s="15">
        <f>HYPERLINK("https://owasp.org/www-project-web-security-testing-guide/latest/4-Web_Application_Security_Testing/07-Input_Validation_Testing/04-Testing_for_HTTP_Parameter_Pollution", "Pruebas de Contaminación de Parámetros HTTP")</f>
        <v/>
      </c>
      <c r="D77" s="16" t="inlineStr">
        <is>
          <t>N/A</t>
        </is>
      </c>
      <c r="E77" s="18" t="inlineStr">
        <is>
          <t>Not Started</t>
        </is>
      </c>
      <c r="F77" s="18" t="n"/>
    </row>
    <row r="78" ht="49.5" customHeight="1" s="82">
      <c r="A78" s="19" t="n"/>
      <c r="B78" s="34" t="inlineStr">
        <is>
          <t>WSTG-INPV-05</t>
        </is>
      </c>
      <c r="C78" s="15">
        <f>HYPERLINK("https://owasp.org/www-project-web-security-testing-guide/latest/4-Web_Application_Security_Testing/07-Input_Validation_Testing/05-Testing_for_SQL_Injection", "Testing for SQL Injection")</f>
        <v/>
      </c>
      <c r="D78" s="16" t="inlineStr">
        <is>
          <t>- Identificar puntos de inyección SQL.
- Evaluar la gravedad de la inyección y el nivel de acceso que se puede lograr a través de ella.</t>
        </is>
      </c>
      <c r="E78" s="18" t="inlineStr">
        <is>
          <t>Not Started</t>
        </is>
      </c>
      <c r="F78" s="18" t="n"/>
    </row>
    <row r="79" ht="16.5" customHeight="1" s="82">
      <c r="A79" s="19" t="n"/>
      <c r="B79" s="34" t="inlineStr">
        <is>
          <t>WSTG-INPV-06</t>
        </is>
      </c>
      <c r="C79" s="15">
        <f>HYPERLINK("https://owasp.org/www-project-web-security-testing-guide/latest/4-Web_Application_Security_Testing/07-Input_Validation_Testing/06-Testing_for_LDAP_Injection", "Pruebas de Inyección LDAP")</f>
        <v/>
      </c>
      <c r="D79" s="16" t="inlineStr">
        <is>
          <t>N/A</t>
        </is>
      </c>
      <c r="E79" s="18" t="inlineStr">
        <is>
          <t>Not Started</t>
        </is>
      </c>
      <c r="F79" s="18" t="n"/>
    </row>
    <row r="80" ht="16.5" customHeight="1" s="82">
      <c r="A80" s="19" t="n"/>
      <c r="B80" s="34" t="inlineStr">
        <is>
          <t>WSTG-INPV-07</t>
        </is>
      </c>
      <c r="C80" s="15">
        <f>HYPERLINK("https://owasp.org/www-project-web-security-testing-guide/latest/4-Web_Application_Security_Testing/07-Input_Validation_Testing/07-Testing_for_XML_Injection", "Pruebas de Inyección XML")</f>
        <v/>
      </c>
      <c r="D80" s="16" t="inlineStr">
        <is>
          <t>N/A</t>
        </is>
      </c>
      <c r="E80" s="18" t="inlineStr">
        <is>
          <t>Not Started</t>
        </is>
      </c>
      <c r="F80" s="18" t="n"/>
    </row>
    <row r="81" ht="16.5" customHeight="1" s="82">
      <c r="A81" s="19" t="n"/>
      <c r="B81" s="34" t="inlineStr">
        <is>
          <t>WSTG-INPV-08</t>
        </is>
      </c>
      <c r="C81" s="15">
        <f>HYPERLINK("https://owasp.org/www-project-web-security-testing-guide/latest/4-Web_Application_Security_Testing/07-Input_Validation_Testing/08-Testing_for_SSI_Injection", "Prueba de inyección SSI")</f>
        <v/>
      </c>
      <c r="D81" s="16" t="inlineStr">
        <is>
          <t>N/A</t>
        </is>
      </c>
      <c r="E81" s="18" t="inlineStr">
        <is>
          <t>Not Started</t>
        </is>
      </c>
      <c r="F81" s="18" t="n"/>
    </row>
    <row r="82" ht="16.5" customHeight="1" s="82">
      <c r="A82" s="19" t="n"/>
      <c r="B82" s="34" t="inlineStr">
        <is>
          <t>WSTG-INPV-09</t>
        </is>
      </c>
      <c r="C82" s="15">
        <f>HYPERLINK("https://owasp.org/www-project-web-security-testing-guide/latest/4-Web_Application_Security_Testing/07-Input_Validation_Testing/09-Testing_for_XPath_Injection", "Pruebas de inyección XPath")</f>
        <v/>
      </c>
      <c r="D82" s="16" t="inlineStr">
        <is>
          <t>N/A</t>
        </is>
      </c>
      <c r="E82" s="18" t="inlineStr">
        <is>
          <t>Not Started</t>
        </is>
      </c>
      <c r="F82" s="18" t="n"/>
    </row>
    <row r="83" ht="16.5" customHeight="1" s="82">
      <c r="A83" s="19" t="n"/>
      <c r="B83" s="34" t="inlineStr">
        <is>
          <t>WSTG-INPV-10</t>
        </is>
      </c>
      <c r="C83" s="15">
        <f>HYPERLINK("https://owasp.org/www-project-web-security-testing-guide/latest/4-Web_Application_Security_Testing/07-Input_Validation_Testing/10-Testing_for_IMAP_SMTP_Injection", "Prueba de inyección IMAP SMTP")</f>
        <v/>
      </c>
      <c r="D83" s="16" t="inlineStr">
        <is>
          <t>N/A</t>
        </is>
      </c>
      <c r="E83" s="18" t="inlineStr">
        <is>
          <t>Not Started</t>
        </is>
      </c>
      <c r="F83" s="18" t="n"/>
    </row>
    <row r="84" ht="16.5" customHeight="1" s="82">
      <c r="A84" s="19" t="n"/>
      <c r="B84" s="34" t="inlineStr">
        <is>
          <t>WSTG-INPV-11</t>
        </is>
      </c>
      <c r="C84" s="15">
        <f>HYPERLINK("https://owasp.org/www-project-web-security-testing-guide/latest/4-Web_Application_Security_Testing/07-Input_Validation_Testing/11-Testing_for_Code_Injection", "Pruebas de inyección de código")</f>
        <v/>
      </c>
      <c r="D84" s="16" t="inlineStr">
        <is>
          <t>N/A</t>
        </is>
      </c>
      <c r="E84" s="18" t="inlineStr">
        <is>
          <t>Not Started</t>
        </is>
      </c>
      <c r="F84" s="18" t="n"/>
    </row>
    <row r="85" ht="16.5" customHeight="1" s="82">
      <c r="A85" s="19" t="n"/>
      <c r="B85" s="34" t="inlineStr">
        <is>
          <t>WSTG-INPV-12</t>
        </is>
      </c>
      <c r="C85" s="15">
        <f>HYPERLINK("https://owasp.org/www-project-web-security-testing-guide/latest/4-Web_Application_Security_Testing/07-Input_Validation_Testing/12-Testing_for_Command_Injection", "Prueba de inyección de comandos")</f>
        <v/>
      </c>
      <c r="D85" s="16" t="inlineStr">
        <is>
          <t>N/A</t>
        </is>
      </c>
      <c r="E85" s="18" t="inlineStr">
        <is>
          <t>Not Started</t>
        </is>
      </c>
      <c r="F85" s="18" t="n"/>
    </row>
    <row r="86" ht="16.5" customHeight="1" s="82">
      <c r="A86" s="19" t="n"/>
      <c r="B86" s="34" t="inlineStr">
        <is>
          <t>WSTG-INPV-13</t>
        </is>
      </c>
      <c r="C86" s="15">
        <f>HYPERLINK("https://owasp.org/www-project-web-security-testing-guide/latest/4-Web_Application_Security_Testing/07-Input_Validation_Testing/13-Testing_for_Buffer_Overflow", "Pruebas de Desbordamiento de Búfer")</f>
        <v/>
      </c>
      <c r="D86" s="16" t="inlineStr">
        <is>
          <t>N/A</t>
        </is>
      </c>
      <c r="E86" s="18" t="inlineStr">
        <is>
          <t>Not Started</t>
        </is>
      </c>
      <c r="F86" s="18" t="n"/>
    </row>
    <row r="87" ht="33" customHeight="1" s="82">
      <c r="A87" s="19" t="n"/>
      <c r="B87" s="34" t="inlineStr">
        <is>
          <t>WSTG-INPV-13</t>
        </is>
      </c>
      <c r="C87" s="15">
        <f>HYPERLINK("https://owasp.org/www-project-web-security-testing-guide/latest/4-Web_Application_Security_Testing/07-Input_Validation_Testing/13-Testing_for_Format_String_Injection", "Pruebas de inyección de cadena de formato")</f>
        <v/>
      </c>
      <c r="D87" s="16" t="inlineStr">
        <is>
          <t>N/A</t>
        </is>
      </c>
      <c r="E87" s="18" t="inlineStr">
        <is>
          <t>Not Started</t>
        </is>
      </c>
      <c r="F87" s="18" t="n"/>
    </row>
    <row r="88" ht="16.5" customHeight="1" s="82">
      <c r="A88" s="19" t="n"/>
      <c r="B88" s="34" t="inlineStr">
        <is>
          <t>WSTG-INPV-14</t>
        </is>
      </c>
      <c r="C88" s="15">
        <f>HYPERLINK("https://owasp.org/www-project-web-security-testing-guide/latest/4-Web_Application_Security_Testing/07-Input_Validation_Testing/14-Testing_for_Incubated_Vulnerability", "Prueba de vulnerabilidades incubadas")</f>
        <v/>
      </c>
      <c r="D88" s="16" t="inlineStr">
        <is>
          <t>N/A</t>
        </is>
      </c>
      <c r="E88" s="18" t="inlineStr">
        <is>
          <t>Not Started</t>
        </is>
      </c>
      <c r="F88" s="18" t="n"/>
    </row>
    <row r="89" ht="115.5" customHeight="1" s="82">
      <c r="A89" s="19" t="n"/>
      <c r="B89" s="34" t="inlineStr">
        <is>
          <t>WSTG-INPV-15</t>
        </is>
      </c>
      <c r="C89" s="15">
        <f>HYPERLINK("https://owasp.org/www-project-web-security-testing-guide/latest/4-Web_Application_Security_Testing/07-Input_Validation_Testing/15-Testing_for_HTTP_Response_Splitting", "Testing for HTTP Response Splitting")</f>
        <v/>
      </c>
      <c r="D89"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9" s="18" t="inlineStr">
        <is>
          <t>Not Started</t>
        </is>
      </c>
      <c r="F89" s="18" t="n"/>
    </row>
    <row r="90" ht="99" customHeight="1" s="82">
      <c r="A90" s="19" t="n"/>
      <c r="B90" s="34" t="inlineStr">
        <is>
          <t>WSTG-INPV-16</t>
        </is>
      </c>
      <c r="C90" s="15">
        <f>HYPERLINK("https://owasp.org/www-project-web-security-testing-guide/latest/4-Web_Application_Security_Testing/07-Input_Validation_Testing/16-Testing_for_HTTP_Request_Smuggling", "Testing for HTTP Request Smuggling")</f>
        <v/>
      </c>
      <c r="D90"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90" s="18" t="inlineStr">
        <is>
          <t>Not Started</t>
        </is>
      </c>
      <c r="F90" s="18" t="n"/>
    </row>
    <row r="91" ht="16.5" customHeight="1" s="82">
      <c r="A91" s="19" t="n"/>
      <c r="B91" s="34" t="inlineStr">
        <is>
          <t>WSTG-INPV-17</t>
        </is>
      </c>
      <c r="C91" s="15">
        <f>HYPERLINK("https://owasp.org/www-project-web-security-testing-guide/latest/4-Web_Application_Security_Testing/07-Input_Validation_Testing/17-Testing_for_Host_Header_Injection", "Pruebas de inyección de cabecera Host")</f>
        <v/>
      </c>
      <c r="D91" s="16" t="inlineStr">
        <is>
          <t>N/A</t>
        </is>
      </c>
      <c r="E91" s="18" t="inlineStr">
        <is>
          <t>Not Started</t>
        </is>
      </c>
      <c r="F91" s="18" t="n"/>
    </row>
    <row r="92" ht="33" customHeight="1" s="82">
      <c r="A92" s="19" t="n"/>
      <c r="B92" s="34" t="inlineStr">
        <is>
          <t>WSTG-INPV-18</t>
        </is>
      </c>
      <c r="C92" s="15">
        <f>HYPERLINK("https://owasp.org/www-project-web-security-testing-guide/latest/4-Web_Application_Security_Testing/07-Input_Validation_Testing/18-Testing_for_Server-side_Template_Injection", "Pruebas de inyección de plantillas del lado del servidor")</f>
        <v/>
      </c>
      <c r="D92" s="16" t="inlineStr">
        <is>
          <t>N/A</t>
        </is>
      </c>
      <c r="E92" s="18" t="inlineStr">
        <is>
          <t>Not Started</t>
        </is>
      </c>
      <c r="F92" s="18" t="n"/>
    </row>
    <row r="93" ht="33" customHeight="1" s="82">
      <c r="A93" s="19" t="n"/>
      <c r="B93" s="34" t="inlineStr">
        <is>
          <t>WSTG-INPV-19</t>
        </is>
      </c>
      <c r="C93" s="15">
        <f>HYPERLINK("https://owasp.org/www-project-web-security-testing-guide/latest/4-Web_Application_Security_Testing/07-Input_Validation_Testing/19-Testing_for_Server-Side_Request_Forgery", "Pruebas para falsificación de solicitudes del lado del servidor")</f>
        <v/>
      </c>
      <c r="D93" s="16" t="inlineStr">
        <is>
          <t>N/A</t>
        </is>
      </c>
      <c r="E93" s="18" t="inlineStr">
        <is>
          <t>Not Started</t>
        </is>
      </c>
      <c r="F93" s="18" t="n"/>
    </row>
    <row r="94" ht="16.5" customHeight="1" s="82">
      <c r="A94" s="19" t="n"/>
      <c r="B94" s="34" t="inlineStr">
        <is>
          <t>WSTG-INPV-20</t>
        </is>
      </c>
      <c r="C94" s="15">
        <f>HYPERLINK("https://owasp.org/www-project-web-security-testing-guide/latest/4-Web_Application_Security_Testing/07-Input_Validation_Testing/20-Testing_for_Mass_Assignment", "Pruebas de asignación masiva")</f>
        <v/>
      </c>
      <c r="D94" s="16" t="inlineStr">
        <is>
          <t>N/A</t>
        </is>
      </c>
      <c r="E94" s="18" t="inlineStr">
        <is>
          <t>Not Started</t>
        </is>
      </c>
      <c r="F94" s="18" t="n"/>
    </row>
    <row r="95" ht="16.5" customHeight="1" s="82">
      <c r="A95" s="19" t="n"/>
      <c r="B95" s="34" t="inlineStr">
        <is>
          <t>WSTG-INPV-21</t>
        </is>
      </c>
      <c r="C95" s="15">
        <f>HYPERLINK("https://owasp.org/www-project-web-security-testing-guide/latest/4-Web_Application_Security_Testing/07-Input_Validation_Testing/21-Testing_for_CSV_Injection", "Pruebas de Inyección CSV")</f>
        <v/>
      </c>
      <c r="D95" s="16" t="inlineStr">
        <is>
          <t>N/A</t>
        </is>
      </c>
      <c r="E95" s="18" t="inlineStr">
        <is>
          <t>Not Started</t>
        </is>
      </c>
      <c r="F95" s="18" t="n"/>
    </row>
    <row r="96" ht="16.5" customHeight="1" s="82">
      <c r="A96" s="19" t="n"/>
      <c r="B96" s="34" t="inlineStr">
        <is>
          <t>WSTG-INPV-22</t>
        </is>
      </c>
      <c r="C96" s="15">
        <f>HYPERLINK("https://owasp.org/www-project-web-security-testing-guide/latest/4-Web_Application_Security_Testing/07-Input_Validation_Testing/22-Testing_for_Prototype_Pollution", "Pruebas de Prototype Pollution")</f>
        <v/>
      </c>
      <c r="D96" s="16" t="inlineStr">
        <is>
          <t>N/A</t>
        </is>
      </c>
      <c r="E96" s="18" t="inlineStr">
        <is>
          <t>Not Started</t>
        </is>
      </c>
      <c r="F96" s="18" t="n"/>
    </row>
    <row r="97" ht="15" customHeight="1" s="82">
      <c r="A97" s="97" t="n"/>
      <c r="B97" s="98" t="n"/>
      <c r="C97" s="99" t="n"/>
      <c r="D97" s="99" t="n"/>
      <c r="E97" s="99" t="n"/>
      <c r="F97" s="99" t="n"/>
    </row>
    <row r="98" ht="47.25" customHeight="1" s="82">
      <c r="A98" s="9" t="n"/>
      <c r="B98" s="100" t="inlineStr">
        <is>
          <t>Testing for Error Handling</t>
        </is>
      </c>
      <c r="C98" s="101" t="inlineStr">
        <is>
          <t>Test Name</t>
        </is>
      </c>
      <c r="D98" s="101" t="inlineStr">
        <is>
          <t>Objectives</t>
        </is>
      </c>
      <c r="E98" s="101" t="inlineStr">
        <is>
          <t>Status</t>
        </is>
      </c>
      <c r="F98" s="101" t="inlineStr">
        <is>
          <t>Notes</t>
        </is>
      </c>
    </row>
    <row r="99" ht="16.5" customHeight="1" s="82">
      <c r="A99" s="19" t="n"/>
      <c r="B99" s="34" t="inlineStr">
        <is>
          <t>WSTG-ERRH-01</t>
        </is>
      </c>
      <c r="C99" s="15">
        <f>HYPERLINK("https://owasp.org/www-project-web-security-testing-guide/latest/4-Web_Application_Security_Testing/08-Testing_for_Error_Handling/01-Testing_For_Improper_Error_Handling", "Pruebas de Manejo Improper de Errores")</f>
        <v/>
      </c>
      <c r="D99" s="16" t="inlineStr">
        <is>
          <t>N/A</t>
        </is>
      </c>
      <c r="E99" s="18" t="inlineStr">
        <is>
          <t>Not Started</t>
        </is>
      </c>
      <c r="F99" s="18" t="n"/>
    </row>
    <row r="100" ht="16.5" customHeight="1" s="82">
      <c r="A100" s="19" t="n"/>
      <c r="B100" s="34" t="inlineStr">
        <is>
          <t>WSTG-ERRH-02</t>
        </is>
      </c>
      <c r="C100" s="15">
        <f>HYPERLINK("https://owasp.org/www-project-web-security-testing-guide/latest/4-Web_Application_Security_Testing/08-Testing_for_Error_Handling/02-Testing_for_Stack_Traces", "Pruebas de Trazas de Pila (Stack Traces)")</f>
        <v/>
      </c>
      <c r="D100" s="16" t="inlineStr">
        <is>
          <t>N/A</t>
        </is>
      </c>
      <c r="E100" s="18" t="inlineStr">
        <is>
          <t>Not Started</t>
        </is>
      </c>
      <c r="F100" s="18" t="n"/>
    </row>
    <row r="101" ht="15" customHeight="1" s="82">
      <c r="A101" s="97" t="n"/>
      <c r="B101" s="98" t="n"/>
      <c r="C101" s="99" t="n"/>
      <c r="D101" s="99" t="n"/>
      <c r="E101" s="99" t="n"/>
      <c r="F101" s="99" t="n"/>
    </row>
    <row r="102" ht="47.25" customHeight="1" s="82">
      <c r="A102" s="9" t="n"/>
      <c r="B102" s="100" t="inlineStr">
        <is>
          <t>Testing for Weak Cryptography</t>
        </is>
      </c>
      <c r="C102" s="101" t="inlineStr">
        <is>
          <t>Test Name</t>
        </is>
      </c>
      <c r="D102" s="101" t="inlineStr">
        <is>
          <t>Objectives</t>
        </is>
      </c>
      <c r="E102" s="101" t="inlineStr">
        <is>
          <t>Status</t>
        </is>
      </c>
      <c r="F102" s="101" t="inlineStr">
        <is>
          <t>Notes</t>
        </is>
      </c>
    </row>
    <row r="103" ht="33" customHeight="1" s="82">
      <c r="A103" s="19" t="n"/>
      <c r="B103" s="34" t="inlineStr">
        <is>
          <t>WSTG-CRYP-01</t>
        </is>
      </c>
      <c r="C103" s="15">
        <f>HYPERLINK("https://owasp.org/www-project-web-security-testing-guide/latest/4-Web_Application_Security_Testing/09-Testing_for_Weak_Cryptography/01-Testing_for_Weak_Transport_Layer_Security", "Pruebas de Seguridad de Capa de Transporte Débil")</f>
        <v/>
      </c>
      <c r="D103" s="16" t="inlineStr">
        <is>
          <t>N/A</t>
        </is>
      </c>
      <c r="E103" s="18" t="inlineStr">
        <is>
          <t>Not Started</t>
        </is>
      </c>
      <c r="F103" s="18" t="n"/>
    </row>
    <row r="104" ht="16.5" customHeight="1" s="82">
      <c r="A104" s="19" t="n"/>
      <c r="B104" s="34" t="inlineStr">
        <is>
          <t>WSTG-CRYP-02</t>
        </is>
      </c>
      <c r="C104" s="15">
        <f>HYPERLINK("https://owasp.org/www-project-web-security-testing-guide/latest/4-Web_Application_Security_Testing/09-Testing_for_Weak_Cryptography/02-Testing_for_Padding_Oracle", "Pruebas de Padding Oracle")</f>
        <v/>
      </c>
      <c r="D104" s="16" t="inlineStr">
        <is>
          <t>N/A</t>
        </is>
      </c>
      <c r="E104" s="18" t="inlineStr">
        <is>
          <t>Not Started</t>
        </is>
      </c>
      <c r="F104" s="18" t="n"/>
    </row>
    <row r="105" ht="33" customHeight="1" s="82">
      <c r="A105" s="19" t="n"/>
      <c r="B105" s="34" t="inlineStr">
        <is>
          <t>WSTG-CRYP-03</t>
        </is>
      </c>
      <c r="C105" s="15">
        <f>HYPERLINK("https://owasp.org/www-project-web-security-testing-guide/latest/4-Web_Application_Security_Testing/09-Testing_for_Weak_Cryptography/03-Testing_for_Sensitive_Information_Sent_via_Unencrypted_Channels", "Pruebas de Información Sensible Enviada vía Canales No Cifrados")</f>
        <v/>
      </c>
      <c r="D105" s="16" t="inlineStr">
        <is>
          <t>N/A</t>
        </is>
      </c>
      <c r="E105" s="18" t="inlineStr">
        <is>
          <t>Not Started</t>
        </is>
      </c>
      <c r="F105" s="18" t="n"/>
    </row>
    <row r="106" ht="33" customHeight="1" s="82">
      <c r="A106" s="19" t="n"/>
      <c r="B106" s="34" t="inlineStr">
        <is>
          <t>WSTG-CRYP-04</t>
        </is>
      </c>
      <c r="C106" s="15">
        <f>HYPERLINK("https://owasp.org/www-project-web-security-testing-guide/latest/4-Web_Application_Security_Testing/09-Testing_for_Weak_Cryptography/04-Testing_for_Weak_Cryptographic_Primitives", "Pruebas de Primitivas Criptográficas Débiles")</f>
        <v/>
      </c>
      <c r="D106" s="16" t="inlineStr">
        <is>
          <t>N/A</t>
        </is>
      </c>
      <c r="E106" s="18" t="inlineStr">
        <is>
          <t>Not Started</t>
        </is>
      </c>
      <c r="F106" s="18" t="n"/>
    </row>
    <row r="107" ht="15" customHeight="1" s="82">
      <c r="A107" s="97" t="n"/>
      <c r="B107" s="98" t="n"/>
      <c r="C107" s="99" t="n"/>
      <c r="D107" s="99" t="n"/>
      <c r="E107" s="99" t="n"/>
      <c r="F107" s="99" t="n"/>
    </row>
    <row r="108" ht="47.25" customHeight="1" s="82">
      <c r="A108" s="9" t="n"/>
      <c r="B108" s="100" t="inlineStr">
        <is>
          <t>Business Logic Testing</t>
        </is>
      </c>
      <c r="C108" s="101" t="inlineStr">
        <is>
          <t>Test Name</t>
        </is>
      </c>
      <c r="D108" s="101" t="inlineStr">
        <is>
          <t>Objectives</t>
        </is>
      </c>
      <c r="E108" s="101" t="inlineStr">
        <is>
          <t>Status</t>
        </is>
      </c>
      <c r="F108" s="101" t="inlineStr">
        <is>
          <t>Notes</t>
        </is>
      </c>
    </row>
    <row r="109" ht="33" customHeight="1" s="82">
      <c r="A109" s="19" t="n"/>
      <c r="B109" s="34" t="inlineStr">
        <is>
          <t>WSTG-BUSL-01</t>
        </is>
      </c>
      <c r="C109" s="15">
        <f>HYPERLINK("https://owasp.org/www-project-web-security-testing-guide/latest/4-Web_Application_Security_Testing/10-Business_Logic_Testing/01-Test_Business_Logic_Data_Validation", "Probar la Validación de Datos de Lógica de Negocio")</f>
        <v/>
      </c>
      <c r="D109" s="16" t="inlineStr">
        <is>
          <t>N/A</t>
        </is>
      </c>
      <c r="E109" s="18" t="inlineStr">
        <is>
          <t>Not Started</t>
        </is>
      </c>
      <c r="F109" s="18" t="n"/>
    </row>
    <row r="110" ht="33" customHeight="1" s="82">
      <c r="A110" s="19" t="n"/>
      <c r="B110" s="34" t="inlineStr">
        <is>
          <t>WSTG-BUSL-02</t>
        </is>
      </c>
      <c r="C110" s="15">
        <f>HYPERLINK("https://owasp.org/www-project-web-security-testing-guide/latest/4-Web_Application_Security_Testing/10-Business_Logic_Testing/02-Test_Ability_to_Forge_Requests", "Probar la Capacidad de Falsificar Solicitudes")</f>
        <v/>
      </c>
      <c r="D110" s="16" t="inlineStr">
        <is>
          <t>N/A</t>
        </is>
      </c>
      <c r="E110" s="18" t="inlineStr">
        <is>
          <t>Not Started</t>
        </is>
      </c>
      <c r="F110" s="18" t="n"/>
    </row>
    <row r="111" ht="16.5" customHeight="1" s="82">
      <c r="A111" s="19" t="n"/>
      <c r="B111" s="34" t="inlineStr">
        <is>
          <t>WSTG-BUSL-03</t>
        </is>
      </c>
      <c r="C111" s="15">
        <f>HYPERLINK("https://owasp.org/www-project-web-security-testing-guide/latest/4-Web_Application_Security_Testing/10-Business_Logic_Testing/03-Test_Integrity_Checks", "Probar Verificaciones de Integridad")</f>
        <v/>
      </c>
      <c r="D111" s="16" t="inlineStr">
        <is>
          <t>N/A</t>
        </is>
      </c>
      <c r="E111" s="18" t="inlineStr">
        <is>
          <t>Not Started</t>
        </is>
      </c>
      <c r="F111" s="18" t="n"/>
    </row>
    <row r="112" ht="16.5" customHeight="1" s="82">
      <c r="A112" s="19" t="n"/>
      <c r="B112" s="34" t="inlineStr">
        <is>
          <t>WSTG-BUSL-04</t>
        </is>
      </c>
      <c r="C112" s="15">
        <f>HYPERLINK("https://owasp.org/www-project-web-security-testing-guide/latest/4-Web_Application_Security_Testing/10-Business_Logic_Testing/04-Test_for_Process_Timing", "Probar el Tiempo del Proceso")</f>
        <v/>
      </c>
      <c r="D112" s="16" t="inlineStr">
        <is>
          <t>N/A</t>
        </is>
      </c>
      <c r="E112" s="18" t="inlineStr">
        <is>
          <t>Not Started</t>
        </is>
      </c>
      <c r="F112" s="18" t="n"/>
    </row>
    <row r="113" ht="33" customHeight="1" s="82">
      <c r="A113" s="19" t="n"/>
      <c r="B113" s="34" t="inlineStr">
        <is>
          <t>WSTG-BUSL-05</t>
        </is>
      </c>
      <c r="C113" s="15">
        <f>HYPERLINK("https://owasp.org/www-project-web-security-testing-guide/latest/4-Web_Application_Security_Testing/10-Business_Logic_Testing/05-Test_Number_of_Times_a_Function_Can_Be_Used_Limits", "Probar Límites en el Número de Veces que una Función Puede Ser Usada")</f>
        <v/>
      </c>
      <c r="D113" s="16" t="inlineStr">
        <is>
          <t>N/A</t>
        </is>
      </c>
      <c r="E113" s="18" t="inlineStr">
        <is>
          <t>Not Started</t>
        </is>
      </c>
      <c r="F113" s="18" t="n"/>
    </row>
    <row r="114" ht="16.5" customHeight="1" s="82">
      <c r="A114" s="19" t="n"/>
      <c r="B114" s="34" t="inlineStr">
        <is>
          <t>WSTG-BUSL-06</t>
        </is>
      </c>
      <c r="C114" s="15">
        <f>HYPERLINK("https://owasp.org/www-project-web-security-testing-guide/latest/4-Web_Application_Security_Testing/10-Business_Logic_Testing/06-Testing_for_the_Circumvention_of_Work_Flows", "Pruebas de Evasión de Flujos de Trabajo")</f>
        <v/>
      </c>
      <c r="D114" s="16" t="inlineStr">
        <is>
          <t>N/A</t>
        </is>
      </c>
      <c r="E114" s="18" t="inlineStr">
        <is>
          <t>Not Started</t>
        </is>
      </c>
      <c r="F114" s="18" t="n"/>
    </row>
    <row r="115" ht="33" customHeight="1" s="82">
      <c r="A115" s="19" t="n"/>
      <c r="B115" s="34" t="inlineStr">
        <is>
          <t>WSTG-BUSL-07</t>
        </is>
      </c>
      <c r="C115" s="15">
        <f>HYPERLINK("https://owasp.org/www-project-web-security-testing-guide/latest/4-Web_Application_Security_Testing/10-Business_Logic_Testing/07-Test_Defenses_Against_Application_Misuse", "Probar Defensas contra el Uso Indebido de la Aplicación")</f>
        <v/>
      </c>
      <c r="D115" s="16" t="inlineStr">
        <is>
          <t>N/A</t>
        </is>
      </c>
      <c r="E115" s="18" t="inlineStr">
        <is>
          <t>Not Started</t>
        </is>
      </c>
      <c r="F115" s="18" t="n"/>
    </row>
    <row r="116" ht="33" customHeight="1" s="82">
      <c r="A116" s="19" t="n"/>
      <c r="B116" s="34" t="inlineStr">
        <is>
          <t>WSTG-BUSL-08</t>
        </is>
      </c>
      <c r="C116" s="15">
        <f>HYPERLINK("https://owasp.org/www-project-web-security-testing-guide/latest/4-Web_Application_Security_Testing/10-Business_Logic_Testing/08-Test_Upload_of_Unexpected_File_Types", "Probar la Subida de Tipos de Archivo Inesperados")</f>
        <v/>
      </c>
      <c r="D116" s="16" t="inlineStr">
        <is>
          <t>N/A</t>
        </is>
      </c>
      <c r="E116" s="18" t="inlineStr">
        <is>
          <t>Not Started</t>
        </is>
      </c>
      <c r="F116" s="18" t="n"/>
    </row>
    <row r="117" ht="16.5" customHeight="1" s="82">
      <c r="A117" s="19" t="n"/>
      <c r="B117" s="34" t="inlineStr">
        <is>
          <t>WSTG-BUSL-09</t>
        </is>
      </c>
      <c r="C117" s="15">
        <f>HYPERLINK("https://owasp.org/www-project-web-security-testing-guide/latest/4-Web_Application_Security_Testing/10-Business_Logic_Testing/09-Test_Upload_of_Malicious_Files", "Probar la Subida de Archivos Maliciosos")</f>
        <v/>
      </c>
      <c r="D117" s="16" t="inlineStr">
        <is>
          <t>N/A</t>
        </is>
      </c>
      <c r="E117" s="18" t="inlineStr">
        <is>
          <t>Not Started</t>
        </is>
      </c>
      <c r="F117" s="18" t="n"/>
    </row>
    <row r="118" ht="16.5" customHeight="1" s="82">
      <c r="A118" s="19" t="n"/>
      <c r="B118" s="34" t="inlineStr">
        <is>
          <t>WSTG-BUSL-10</t>
        </is>
      </c>
      <c r="C118" s="15">
        <f>HYPERLINK("https://owasp.org/www-project-web-security-testing-guide/latest/4-Web_Application_Security_Testing/10-Business_Logic_Testing/10-Test-Payment-Functionality", "Probar la Funcionalidad de Pago")</f>
        <v/>
      </c>
      <c r="D118" s="16" t="inlineStr">
        <is>
          <t>N/A</t>
        </is>
      </c>
      <c r="E118" s="18" t="inlineStr">
        <is>
          <t>Not Started</t>
        </is>
      </c>
      <c r="F118" s="18" t="n"/>
    </row>
    <row r="119" ht="15" customHeight="1" s="82">
      <c r="A119" s="97" t="n"/>
      <c r="B119" s="98" t="n"/>
      <c r="C119" s="99" t="n"/>
      <c r="D119" s="99" t="n"/>
      <c r="E119" s="99" t="n"/>
      <c r="F119" s="99" t="n"/>
    </row>
    <row r="120" ht="47.25" customHeight="1" s="82">
      <c r="A120" s="9" t="n"/>
      <c r="B120" s="100" t="inlineStr">
        <is>
          <t>Client-side Testing</t>
        </is>
      </c>
      <c r="C120" s="101" t="inlineStr">
        <is>
          <t>Test Name</t>
        </is>
      </c>
      <c r="D120" s="101" t="inlineStr">
        <is>
          <t>Objectives</t>
        </is>
      </c>
      <c r="E120" s="101" t="inlineStr">
        <is>
          <t>Status</t>
        </is>
      </c>
      <c r="F120" s="101" t="inlineStr">
        <is>
          <t>Notes</t>
        </is>
      </c>
    </row>
    <row r="121" ht="33" customHeight="1" s="82">
      <c r="A121" s="19" t="n"/>
      <c r="B121" s="34" t="inlineStr">
        <is>
          <t>WSTG-CLNT-01</t>
        </is>
      </c>
      <c r="C121" s="15">
        <f>HYPERLINK("https://owasp.org/www-project-web-security-testing-guide/latest/4-Web_Application_Security_Testing/11-Client-side_Testing/01-Testing_for_DOM-based_Cross_Site_Scripting", "Pruebas de Cross Site Scripting Basado en DOM")</f>
        <v/>
      </c>
      <c r="D121" s="16" t="inlineStr">
        <is>
          <t>N/A</t>
        </is>
      </c>
      <c r="E121" s="18" t="inlineStr">
        <is>
          <t>Not Started</t>
        </is>
      </c>
      <c r="F121" s="18" t="n"/>
    </row>
    <row r="122" ht="16.5" customHeight="1" s="82">
      <c r="A122" s="19" t="n"/>
      <c r="B122" s="34" t="inlineStr">
        <is>
          <t>WSTG-CLNT-02</t>
        </is>
      </c>
      <c r="C122" s="15">
        <f>HYPERLINK("https://owasp.org/www-project-web-security-testing-guide/latest/4-Web_Application_Security_Testing/11-Client-side_Testing/02-Testing_for_JavaScript_Execution", "Pruebas de Ejecución de JavaScript")</f>
        <v/>
      </c>
      <c r="D122" s="16" t="inlineStr">
        <is>
          <t>N/A</t>
        </is>
      </c>
      <c r="E122" s="18" t="inlineStr">
        <is>
          <t>Not Started</t>
        </is>
      </c>
      <c r="F122" s="18" t="n"/>
    </row>
    <row r="123" ht="16.5" customHeight="1" s="82">
      <c r="A123" s="19" t="n"/>
      <c r="B123" s="34" t="inlineStr">
        <is>
          <t>WSTG-CLNT-03</t>
        </is>
      </c>
      <c r="C123" s="15">
        <f>HYPERLINK("https://owasp.org/www-project-web-security-testing-guide/latest/4-Web_Application_Security_Testing/11-Client-side_Testing/03-Testing_for_HTML_Injection", "Pruebas de Inyección HTML")</f>
        <v/>
      </c>
      <c r="D123" s="16" t="inlineStr">
        <is>
          <t>N/A</t>
        </is>
      </c>
      <c r="E123" s="18" t="inlineStr">
        <is>
          <t>Not Started</t>
        </is>
      </c>
      <c r="F123" s="18" t="n"/>
    </row>
    <row r="124" ht="33" customHeight="1" s="82">
      <c r="A124" s="19" t="n"/>
      <c r="B124" s="34" t="inlineStr">
        <is>
          <t>WSTG-CLNT-04</t>
        </is>
      </c>
      <c r="C124" s="15">
        <f>HYPERLINK("https://owasp.org/www-project-web-security-testing-guide/latest/4-Web_Application_Security_Testing/11-Client-side_Testing/04-Testing_for_Client-side_URL_Redirect", "Pruebas de Redirección de URL del Lado del Cliente")</f>
        <v/>
      </c>
      <c r="D124" s="16" t="inlineStr">
        <is>
          <t>N/A</t>
        </is>
      </c>
      <c r="E124" s="18" t="inlineStr">
        <is>
          <t>Not Started</t>
        </is>
      </c>
      <c r="F124" s="18" t="n"/>
    </row>
    <row r="125" ht="16.5" customHeight="1" s="82">
      <c r="A125" s="19" t="n"/>
      <c r="B125" s="34" t="inlineStr">
        <is>
          <t>WSTG-CLNT-05</t>
        </is>
      </c>
      <c r="C125" s="15">
        <f>HYPERLINK("https://owasp.org/www-project-web-security-testing-guide/latest/4-Web_Application_Security_Testing/11-Client-side_Testing/05-Testing_for_CSS_Injection", "Pruebas de Inyección CSS")</f>
        <v/>
      </c>
      <c r="D125" s="16" t="inlineStr">
        <is>
          <t>N/A</t>
        </is>
      </c>
      <c r="E125" s="18" t="inlineStr">
        <is>
          <t>Not Started</t>
        </is>
      </c>
      <c r="F125" s="18" t="n"/>
    </row>
    <row r="126" ht="33" customHeight="1" s="82">
      <c r="A126" s="19" t="n"/>
      <c r="B126" s="34" t="inlineStr">
        <is>
          <t>WSTG-CLNT-06</t>
        </is>
      </c>
      <c r="C126" s="15">
        <f>HYPERLINK("https://owasp.org/www-project-web-security-testing-guide/latest/4-Web_Application_Security_Testing/11-Client-side_Testing/06-Testing_for_Client-side_Resource_Manipulation", "Pruebas de Manipulación de Recursos del Lado del Cliente")</f>
        <v/>
      </c>
      <c r="D126" s="16" t="inlineStr">
        <is>
          <t>N/A</t>
        </is>
      </c>
      <c r="E126" s="18" t="inlineStr">
        <is>
          <t>Not Started</t>
        </is>
      </c>
      <c r="F126" s="18" t="n"/>
    </row>
    <row r="127" ht="16.5" customHeight="1" s="82">
      <c r="A127" s="19" t="n"/>
      <c r="B127" s="34" t="inlineStr">
        <is>
          <t>WSTG-CLNT-07</t>
        </is>
      </c>
      <c r="C127" s="15">
        <f>HYPERLINK("https://owasp.org/www-project-web-security-testing-guide/latest/4-Web_Application_Security_Testing/11-Client-side_Testing/07-Testing_Cross_Origin_Resource_Sharing", "Pruebas de Cross Origin Resource Sharing")</f>
        <v/>
      </c>
      <c r="D127" s="16" t="inlineStr">
        <is>
          <t>N/A</t>
        </is>
      </c>
      <c r="E127" s="18" t="inlineStr">
        <is>
          <t>Not Started</t>
        </is>
      </c>
      <c r="F127" s="18" t="n"/>
    </row>
    <row r="128" ht="16.5" customHeight="1" s="82">
      <c r="A128" s="19" t="n"/>
      <c r="B128" s="34" t="inlineStr">
        <is>
          <t>WSTG-CLNT-08</t>
        </is>
      </c>
      <c r="C128" s="15">
        <f>HYPERLINK("https://owasp.org/www-project-web-security-testing-guide/latest/4-Web_Application_Security_Testing/11-Client-side_Testing/08-Testing_for_Cross_Site_Flashing", "Pruebas de Cross Site Flashing")</f>
        <v/>
      </c>
      <c r="D128" s="16" t="inlineStr">
        <is>
          <t>N/A</t>
        </is>
      </c>
      <c r="E128" s="18" t="inlineStr">
        <is>
          <t>Not Started</t>
        </is>
      </c>
      <c r="F128" s="18" t="n"/>
    </row>
    <row r="129" ht="16.5" customHeight="1" s="82">
      <c r="A129" s="19" t="n"/>
      <c r="B129" s="34" t="inlineStr">
        <is>
          <t>WSTG-CLNT-09</t>
        </is>
      </c>
      <c r="C129" s="15">
        <f>HYPERLINK("https://owasp.org/www-project-web-security-testing-guide/latest/4-Web_Application_Security_Testing/11-Client-side_Testing/09-Testing_for_Clickjacking", "Pruebas de Clickjacking")</f>
        <v/>
      </c>
      <c r="D129" s="16" t="inlineStr">
        <is>
          <t>N/A</t>
        </is>
      </c>
      <c r="E129" s="18" t="inlineStr">
        <is>
          <t>Not Started</t>
        </is>
      </c>
      <c r="F129" s="18" t="n"/>
    </row>
    <row r="130" ht="16.5" customHeight="1" s="82">
      <c r="A130" s="19" t="n"/>
      <c r="B130" s="34" t="inlineStr">
        <is>
          <t>WSTG-CLNT-10</t>
        </is>
      </c>
      <c r="C130" s="15">
        <f>HYPERLINK("https://owasp.org/www-project-web-security-testing-guide/latest/4-Web_Application_Security_Testing/11-Client-side_Testing/10-Testing_WebSockets", "Pruebas de WebSockets")</f>
        <v/>
      </c>
      <c r="D130" s="16" t="inlineStr">
        <is>
          <t>N/A</t>
        </is>
      </c>
      <c r="E130" s="18" t="inlineStr">
        <is>
          <t>Not Started</t>
        </is>
      </c>
      <c r="F130" s="18" t="n"/>
    </row>
    <row r="131" ht="16.5" customHeight="1" s="82">
      <c r="A131" s="19" t="n"/>
      <c r="B131" s="34" t="inlineStr">
        <is>
          <t>WSTG-CLNT-11</t>
        </is>
      </c>
      <c r="C131" s="15">
        <f>HYPERLINK("https://owasp.org/www-project-web-security-testing-guide/latest/4-Web_Application_Security_Testing/11-Client-side_Testing/11-Testing_Web_Messaging", "Pruebas de Web Messaging")</f>
        <v/>
      </c>
      <c r="D131" s="16" t="inlineStr">
        <is>
          <t>N/A</t>
        </is>
      </c>
      <c r="E131" s="18" t="inlineStr">
        <is>
          <t>Not Started</t>
        </is>
      </c>
      <c r="F131" s="18" t="n"/>
    </row>
    <row r="132" ht="16.5" customHeight="1" s="82">
      <c r="A132" s="19" t="n"/>
      <c r="B132" s="34" t="inlineStr">
        <is>
          <t>WSTG-CLNT-12</t>
        </is>
      </c>
      <c r="C132" s="15">
        <f>HYPERLINK("https://owasp.org/www-project-web-security-testing-guide/latest/4-Web_Application_Security_Testing/11-Client-side_Testing/12-Testing_Browser_Storage", "Pruebas de Almacenamiento del Navegador")</f>
        <v/>
      </c>
      <c r="D132" s="16" t="inlineStr">
        <is>
          <t>N/A</t>
        </is>
      </c>
      <c r="E132" s="18" t="inlineStr">
        <is>
          <t>Not Started</t>
        </is>
      </c>
      <c r="F132" s="18" t="n"/>
    </row>
    <row r="133" ht="16.5" customHeight="1" s="82">
      <c r="A133" s="19" t="n"/>
      <c r="B133" s="34" t="inlineStr">
        <is>
          <t>WSTG-CLNT-13</t>
        </is>
      </c>
      <c r="C133" s="15">
        <f>HYPERLINK("https://owasp.org/www-project-web-security-testing-guide/latest/4-Web_Application_Security_Testing/11-Client-side_Testing/13-Testing_for_Cross_Site_Script_Inclusion", "Pruebas de Cross Site Script Inclusion")</f>
        <v/>
      </c>
      <c r="D133" s="16" t="inlineStr">
        <is>
          <t>N/A</t>
        </is>
      </c>
      <c r="E133" s="18" t="inlineStr">
        <is>
          <t>Not Started</t>
        </is>
      </c>
      <c r="F133" s="18" t="n"/>
    </row>
    <row r="134" ht="16.5" customHeight="1" s="82">
      <c r="A134" s="19" t="n"/>
      <c r="B134" s="34" t="inlineStr">
        <is>
          <t>WSTG-CLNT-14</t>
        </is>
      </c>
      <c r="C134" s="15">
        <f>HYPERLINK("https://owasp.org/www-project-web-security-testing-guide/latest/4-Web_Application_Security_Testing/11-Client-side_Testing/14-Testing_for_Reverse_Tabnabbing", "Pruebas de Reverse Tabnabbing")</f>
        <v/>
      </c>
      <c r="D134" s="16" t="inlineStr">
        <is>
          <t>N/A</t>
        </is>
      </c>
      <c r="E134" s="18" t="inlineStr">
        <is>
          <t>Not Started</t>
        </is>
      </c>
      <c r="F134" s="18" t="n"/>
    </row>
    <row r="135" ht="33" customHeight="1" s="82">
      <c r="A135" s="19" t="n"/>
      <c r="B135" s="34" t="inlineStr">
        <is>
          <t>WSTG-CLNT-15</t>
        </is>
      </c>
      <c r="C135" s="15">
        <f>HYPERLINK("https://owasp.org/www-project-web-security-testing-guide/latest/4-Web_Application_Security_Testing/11-Client-side_Testing/15-Testing_for_Client-Side_Template_Injection", "Pruebas de Inyección de Plantillas del Lado del Cliente")</f>
        <v/>
      </c>
      <c r="D135" s="16" t="inlineStr">
        <is>
          <t>N/A</t>
        </is>
      </c>
      <c r="E135" s="18" t="inlineStr">
        <is>
          <t>Not Started</t>
        </is>
      </c>
      <c r="F135" s="18" t="n"/>
    </row>
    <row r="136" ht="15" customHeight="1" s="82">
      <c r="A136" s="97" t="n"/>
      <c r="B136" s="98" t="n"/>
      <c r="C136" s="99" t="n"/>
      <c r="D136" s="99" t="n"/>
      <c r="E136" s="99" t="n"/>
      <c r="F136" s="99" t="n"/>
    </row>
    <row r="137" ht="47.25" customHeight="1" s="82">
      <c r="A137" s="9" t="n"/>
      <c r="B137" s="100" t="inlineStr">
        <is>
          <t>API Testing</t>
        </is>
      </c>
      <c r="C137" s="101" t="inlineStr">
        <is>
          <t>Test Name</t>
        </is>
      </c>
      <c r="D137" s="101" t="inlineStr">
        <is>
          <t>Objectives</t>
        </is>
      </c>
      <c r="E137" s="101" t="inlineStr">
        <is>
          <t>Status</t>
        </is>
      </c>
      <c r="F137" s="101" t="inlineStr">
        <is>
          <t>Notes</t>
        </is>
      </c>
    </row>
    <row r="138" ht="16.5" customHeight="1" s="82">
      <c r="A138" s="19" t="n"/>
      <c r="B138" s="34" t="inlineStr">
        <is>
          <t>WSTG-APIT-01</t>
        </is>
      </c>
      <c r="C138" s="15">
        <f>HYPERLINK("https://owasp.org/www-project-web-security-testing-guide/latest/4-Web_Application_Security_Testing/12-API_Testing/01-API_Reconnaissance", "Reconocimiento de API")</f>
        <v/>
      </c>
      <c r="D138" s="16" t="inlineStr">
        <is>
          <t>N/A</t>
        </is>
      </c>
      <c r="E138" s="18" t="inlineStr">
        <is>
          <t>Not Started</t>
        </is>
      </c>
      <c r="F138" s="18" t="n"/>
    </row>
    <row r="139" ht="33" customHeight="1" s="82">
      <c r="A139" s="19" t="n"/>
      <c r="B139" s="34" t="inlineStr">
        <is>
          <t>WSTG-APIT-02</t>
        </is>
      </c>
      <c r="C139" s="15">
        <f>HYPERLINK("https://owasp.org/www-project-web-security-testing-guide/latest/4-Web_Application_Security_Testing/12-API_Testing/02-API_Broken_Object_Level_Authorization", "Autorización Rota a Nivel de Objeto de API")</f>
        <v/>
      </c>
      <c r="D139" s="16" t="inlineStr">
        <is>
          <t>N/A</t>
        </is>
      </c>
      <c r="E139" s="18" t="inlineStr">
        <is>
          <t>Not Started</t>
        </is>
      </c>
      <c r="F139" s="18" t="n"/>
    </row>
    <row r="140" ht="16.5" customHeight="1" s="82">
      <c r="A140" s="19" t="n"/>
      <c r="B140" s="34" t="inlineStr">
        <is>
          <t>WSTG-APIT-03</t>
        </is>
      </c>
      <c r="C140" s="15">
        <f>HYPERLINK("https://owasp.org/www-project-web-security-testing-guide/latest/4-Web_Application_Security_Testing/12-API_Testing/03-Testing_for_Excessive_Data_Exposure", "Pruebas de Exposición Excesiva de Datos")</f>
        <v/>
      </c>
      <c r="D140" s="16" t="inlineStr">
        <is>
          <t>N/A</t>
        </is>
      </c>
      <c r="E140" s="18" t="inlineStr">
        <is>
          <t>Not Started</t>
        </is>
      </c>
      <c r="F140" s="18" t="n"/>
    </row>
    <row r="141" ht="33" customHeight="1" s="82">
      <c r="A141" s="19" t="n"/>
      <c r="B141" s="34" t="inlineStr">
        <is>
          <t>WSTG-APIT-04</t>
        </is>
      </c>
      <c r="C141" s="15">
        <f>HYPERLINK("https://owasp.org/www-project-web-security-testing-guide/latest/4-Web_Application_Security_Testing/12-API_Testing/04-API_Broken_Function_Level_Authorization", "Autorización Rota a Nivel de Función de API")</f>
        <v/>
      </c>
      <c r="D141" s="16" t="inlineStr">
        <is>
          <t>N/A</t>
        </is>
      </c>
      <c r="E141" s="18" t="inlineStr">
        <is>
          <t>Not Started</t>
        </is>
      </c>
      <c r="F141" s="18" t="n"/>
    </row>
    <row r="142" ht="16.5" customHeight="1" s="82">
      <c r="A142" s="19" t="n"/>
      <c r="B142" s="34" t="inlineStr">
        <is>
          <t>WSTG-APIT-99</t>
        </is>
      </c>
      <c r="C142" s="15">
        <f>HYPERLINK("https://owasp.org/www-project-web-security-testing-guide/latest/4-Web_Application_Security_Testing/12-API_Testing/99-Testing_GraphQL", "Pruebas de GraphQL")</f>
        <v/>
      </c>
      <c r="D142" s="16" t="inlineStr">
        <is>
          <t>N/A</t>
        </is>
      </c>
      <c r="E142" s="18" t="inlineStr">
        <is>
          <t>Not Started</t>
        </is>
      </c>
      <c r="F142" s="18" t="n"/>
    </row>
    <row r="143" ht="15" customHeight="1" s="82">
      <c r="A143" s="97" t="n"/>
      <c r="B143" s="98" t="n"/>
      <c r="C143" s="99" t="n"/>
      <c r="D143" s="99" t="n"/>
      <c r="E143" s="99" t="n"/>
      <c r="F143"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3">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1 E34 E35 E36 E37 E38 E41 E42 E43 E44 E45 E46 E47 E48 E49 E50 E51 E54 E55 E56 E57 E58 E61 E62 E63 E64 E65 E66 E67 E68 E69 E70 E71 E74 E75 E76 E77 E78 E79 E80 E81 E82 E83 E84 E85 E86 E87 E88 E89 E90 E91 E92 E93 E94 E95 E96 E99 E100 E103 E104 E105 E106 E109 E110 E111 E112 E113 E114 E115 E116 E117 E118 E121 E122 E123 E124 E125 E126 E127 E128 E129 E130 E131 E132 E133 E134 E135 E138 E139 E140 E141 E142"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2026-07-22T16:31:58Z</dcterms:created>
  <dcterms:modified xsi:type="dcterms:W3CDTF">2026-07-22T16:31:59Z</dcterms:modified>
  <cp:lastModifiedBy>Rejah Rehim</cp:lastModifiedBy>
</cp:coreProperties>
</file>