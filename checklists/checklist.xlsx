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3600" windowHeight="20500" tabRatio="600" firstSheet="0" activeTab="0" autoFilterDateGrouping="1"/>
  </bookViews>
  <sheets>
    <sheet name="Testing Checklist" sheetId="1" state="visible" r:id="rId1"/>
    <sheet name="Summary Findings" sheetId="2" state="visible" r:id="rId2"/>
    <sheet name="Risk Assessment Calculator" sheetId="3" state="visible" r:id="rId3"/>
    <sheet name="References" sheetId="4" state="visible" r:id="rId4"/>
  </sheets>
  <definedNames>
    <definedName name="Awareness">References!$M$3:$M$7</definedName>
    <definedName name="EaseofExploit">References!$K$3:$K$7</definedName>
    <definedName name="EasyofDiscovery">References!$I$3:$I$7</definedName>
    <definedName name="FinancialDamage">References!$I$12:$I$16</definedName>
    <definedName name="IntrusionDetection">References!$O$3:$O$7</definedName>
    <definedName name="LossofAccountability">References!$G$12:$G$15</definedName>
    <definedName name="LossofAvailability">References!$E$12:$E$16</definedName>
    <definedName name="LossofConfidentiality">References!$A$12:$A$16</definedName>
    <definedName name="LossofIntegrity">References!$C$12:$C$17</definedName>
    <definedName name="Motive">References!$C$3:$C$6</definedName>
    <definedName name="NonCompliance">References!$M$12:$M$15</definedName>
    <definedName name="Opportunity">References!$E$3:$E$6</definedName>
    <definedName name="PolicyViolation">References!$O$12:$O$16</definedName>
    <definedName name="PopulationSize">References!$G$3:$G$8</definedName>
    <definedName name="ReputationDamage">References!$K$12:$K$16</definedName>
    <definedName name="result">#REF!</definedName>
    <definedName name="SkillRequired">References!$A$3:$A$8</definedName>
  </definedNames>
  <calcPr calcId="191029" fullCalcOnLoad="1"/>
</workbook>
</file>

<file path=xl/styles.xml><?xml version="1.0" encoding="utf-8"?>
<styleSheet xmlns="http://schemas.openxmlformats.org/spreadsheetml/2006/main">
  <numFmts count="0"/>
  <fonts count="27">
    <font>
      <name val="Arial"/>
      <color rgb="FF000000"/>
      <sz val="10"/>
      <scheme val="minor"/>
    </font>
    <font>
      <name val="Arial"/>
      <b val="1"/>
      <color theme="1"/>
      <sz val="14"/>
      <scheme val="minor"/>
    </font>
    <font>
      <name val="Arial"/>
      <sz val="10"/>
    </font>
    <font>
      <name val="Arial"/>
      <color theme="1"/>
      <sz val="10"/>
      <scheme val="minor"/>
    </font>
    <font>
      <name val="Arial"/>
      <b val="1"/>
      <color theme="0"/>
      <sz val="10"/>
      <scheme val="minor"/>
    </font>
    <font>
      <name val="Arial"/>
      <b val="1"/>
      <color rgb="FFFFFFFF"/>
      <sz val="10"/>
      <scheme val="minor"/>
    </font>
    <font>
      <name val="Arial"/>
      <color rgb="FF4D90FF"/>
      <sz val="10"/>
      <scheme val="minor"/>
    </font>
    <font>
      <name val="Arial"/>
      <color rgb="FF4D90FF"/>
      <sz val="10"/>
      <scheme val="minor"/>
    </font>
    <font>
      <name val="Arial"/>
      <color rgb="FF434343"/>
      <sz val="10"/>
      <scheme val="minor"/>
    </font>
    <font>
      <name val="Arial"/>
      <color theme="1"/>
      <sz val="10"/>
      <scheme val="minor"/>
    </font>
    <font>
      <name val="Arial"/>
      <i val="1"/>
      <color rgb="FF434343"/>
      <sz val="10"/>
      <scheme val="minor"/>
    </font>
    <font>
      <name val="Arial"/>
      <b val="1"/>
      <color rgb="FFFFFFFF"/>
      <sz val="10"/>
      <scheme val="minor"/>
    </font>
    <font>
      <name val="Arial"/>
      <color rgb="FFEA4335"/>
      <sz val="10"/>
      <scheme val="minor"/>
    </font>
    <font>
      <name val="Arial"/>
      <color rgb="FF000000"/>
      <sz val="10"/>
    </font>
    <font>
      <name val="Arial"/>
      <color rgb="FFB7B7B7"/>
      <sz val="10"/>
    </font>
    <font>
      <name val="Calibri"/>
      <b val="1"/>
      <color theme="0"/>
      <sz val="11"/>
    </font>
    <font>
      <name val="Calibri"/>
      <b val="1"/>
      <color rgb="FF000000"/>
      <sz val="11"/>
    </font>
    <font>
      <name val="Calibri"/>
      <b val="1"/>
      <i val="1"/>
      <color rgb="FF4D90FF"/>
      <sz val="11"/>
    </font>
    <font>
      <name val="Calibri"/>
      <i val="1"/>
      <color rgb="FF000000"/>
      <sz val="11"/>
    </font>
    <font>
      <name val="Calibri"/>
      <color rgb="FF000000"/>
      <sz val="11"/>
    </font>
    <font>
      <name val="Calibri"/>
      <color rgb="FFB7B7B7"/>
      <sz val="11"/>
    </font>
    <font>
      <name val="Calibri"/>
      <i val="1"/>
      <color rgb="FFB7B7B7"/>
      <sz val="11"/>
    </font>
    <font>
      <name val="Calibri"/>
      <b val="1"/>
      <color rgb="FF000000"/>
      <sz val="20"/>
    </font>
    <font>
      <name val="Calibri"/>
      <b val="1"/>
      <color rgb="FF333333"/>
      <sz val="11"/>
    </font>
    <font>
      <name val="Calibri"/>
      <b val="1"/>
      <color rgb="FF333333"/>
      <sz val="12"/>
    </font>
    <font>
      <name val="Calibri"/>
      <b val="1"/>
      <color rgb="FF000000"/>
      <sz val="14"/>
    </font>
    <font>
      <name val="Arial"/>
      <color rgb="FF000000"/>
      <sz val="10"/>
    </font>
  </fonts>
  <fills count="12">
    <fill>
      <patternFill/>
    </fill>
    <fill>
      <patternFill patternType="gray125"/>
    </fill>
    <fill>
      <patternFill patternType="solid">
        <fgColor rgb="FF4D90FF"/>
        <bgColor rgb="FF4D90FF"/>
      </patternFill>
    </fill>
    <fill>
      <patternFill patternType="solid">
        <fgColor rgb="FFEFF5FF"/>
        <bgColor rgb="FFEFF5FF"/>
      </patternFill>
    </fill>
    <fill>
      <patternFill patternType="solid">
        <fgColor rgb="FFEA4335"/>
        <bgColor rgb="FFEA4335"/>
      </patternFill>
    </fill>
    <fill>
      <patternFill patternType="solid">
        <fgColor rgb="FFFFEBE9"/>
        <bgColor rgb="FFFFEBE9"/>
      </patternFill>
    </fill>
    <fill>
      <patternFill patternType="solid">
        <fgColor rgb="FF34A853"/>
        <bgColor rgb="FF34A853"/>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7030A0"/>
        <bgColor rgb="FF7030A0"/>
      </patternFill>
    </fill>
  </fills>
  <borders count="30">
    <border>
      <left/>
      <right/>
      <top/>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FFFFFF"/>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25"/>
  </cellStyleXfs>
  <cellXfs count="119">
    <xf numFmtId="0" fontId="0" fillId="0" borderId="0" pivotButton="0" quotePrefix="0" xfId="0"/>
    <xf numFmtId="0" fontId="1" fillId="0" borderId="1" pivotButton="0" quotePrefix="0" xfId="0"/>
    <xf numFmtId="0" fontId="1" fillId="0" borderId="2" applyAlignment="1" pivotButton="0" quotePrefix="0" xfId="0">
      <alignment horizontal="left"/>
    </xf>
    <xf numFmtId="0" fontId="1" fillId="0" borderId="3" pivotButton="0" quotePrefix="0" xfId="0"/>
    <xf numFmtId="0" fontId="1" fillId="0" borderId="2" pivotButton="0" quotePrefix="0" xfId="0"/>
    <xf numFmtId="0" fontId="3" fillId="0" borderId="4" pivotButton="0" quotePrefix="0" xfId="0"/>
    <xf numFmtId="0" fontId="3" fillId="0" borderId="5" applyAlignment="1" pivotButton="0" quotePrefix="0" xfId="0">
      <alignment horizontal="left"/>
    </xf>
    <xf numFmtId="0" fontId="3" fillId="0" borderId="6" pivotButton="0" quotePrefix="0" xfId="0"/>
    <xf numFmtId="0" fontId="3" fillId="0" borderId="7" pivotButton="0" quotePrefix="0" xfId="0"/>
    <xf numFmtId="0" fontId="4" fillId="0" borderId="7" applyAlignment="1" pivotButton="0" quotePrefix="0" xfId="0">
      <alignment vertical="center"/>
    </xf>
    <xf numFmtId="0" fontId="5" fillId="2" borderId="0" applyAlignment="1" pivotButton="0" quotePrefix="0" xfId="0">
      <alignment horizontal="left" vertical="center" wrapText="1"/>
    </xf>
    <xf numFmtId="0" fontId="6" fillId="3" borderId="0" applyAlignment="1" pivotButton="0" quotePrefix="0" xfId="0">
      <alignment vertical="center"/>
    </xf>
    <xf numFmtId="0" fontId="7" fillId="0" borderId="7" applyAlignment="1" pivotButton="0" quotePrefix="0" xfId="0">
      <alignment vertical="center"/>
    </xf>
    <xf numFmtId="0" fontId="8" fillId="0" borderId="7" applyAlignment="1" pivotButton="0" quotePrefix="0" xfId="0">
      <alignment vertical="top" wrapText="1"/>
    </xf>
    <xf numFmtId="0" fontId="8" fillId="0" borderId="8" applyAlignment="1" pivotButton="0" quotePrefix="0" xfId="0">
      <alignment horizontal="left" vertical="center" wrapText="1"/>
    </xf>
    <xf numFmtId="0" fontId="9" fillId="0" borderId="8" applyAlignment="1" pivotButton="0" quotePrefix="0" xfId="0">
      <alignment vertical="center" wrapText="1"/>
    </xf>
    <xf numFmtId="0" fontId="10" fillId="0" borderId="8" applyAlignment="1" pivotButton="0" quotePrefix="0" xfId="0">
      <alignment vertical="center" wrapText="1"/>
    </xf>
    <xf numFmtId="0" fontId="8" fillId="0" borderId="8" applyAlignment="1" pivotButton="0" quotePrefix="0" xfId="0">
      <alignment vertical="center" wrapText="1"/>
    </xf>
    <xf numFmtId="0" fontId="8" fillId="0" borderId="8" applyAlignment="1" pivotButton="0" quotePrefix="0" xfId="0">
      <alignment vertical="center" wrapText="1"/>
    </xf>
    <xf numFmtId="0" fontId="8" fillId="0" borderId="7" applyAlignment="1" pivotButton="0" quotePrefix="0" xfId="0">
      <alignment vertical="top" wrapText="1"/>
    </xf>
    <xf numFmtId="0" fontId="1" fillId="0" borderId="5" applyAlignment="1" pivotButton="0" quotePrefix="0" xfId="0">
      <alignment horizontal="left"/>
    </xf>
    <xf numFmtId="0" fontId="1" fillId="0" borderId="6" pivotButton="0" quotePrefix="0" xfId="0"/>
    <xf numFmtId="0" fontId="1" fillId="0" borderId="6" applyAlignment="1" pivotButton="0" quotePrefix="0" xfId="0">
      <alignment horizontal="left"/>
    </xf>
    <xf numFmtId="0" fontId="1" fillId="0" borderId="6" applyAlignment="1" pivotButton="0" quotePrefix="0" xfId="0">
      <alignment horizontal="center"/>
    </xf>
    <xf numFmtId="0" fontId="3" fillId="0" borderId="9" applyAlignment="1" pivotButton="0" quotePrefix="0" xfId="0">
      <alignment horizontal="left"/>
    </xf>
    <xf numFmtId="0" fontId="3" fillId="0" borderId="10" pivotButton="0" quotePrefix="0" xfId="0"/>
    <xf numFmtId="0" fontId="3" fillId="0" borderId="10" applyAlignment="1" pivotButton="0" quotePrefix="0" xfId="0">
      <alignment horizontal="left"/>
    </xf>
    <xf numFmtId="0" fontId="3" fillId="0" borderId="10" applyAlignment="1" pivotButton="0" quotePrefix="0" xfId="0">
      <alignment horizontal="center"/>
    </xf>
    <xf numFmtId="0" fontId="11" fillId="4" borderId="0" applyAlignment="1" pivotButton="0" quotePrefix="0" xfId="0">
      <alignment horizontal="center" vertical="center" wrapText="1"/>
    </xf>
    <xf numFmtId="0" fontId="12" fillId="5" borderId="0" applyAlignment="1" pivotButton="0" quotePrefix="0" xfId="0">
      <alignment vertical="center"/>
    </xf>
    <xf numFmtId="0" fontId="12" fillId="5" borderId="0" applyAlignment="1" pivotButton="0" quotePrefix="0" xfId="0">
      <alignment horizontal="left" vertical="center"/>
    </xf>
    <xf numFmtId="0" fontId="12" fillId="5" borderId="0" applyAlignment="1" pivotButton="0" quotePrefix="0" xfId="0">
      <alignment horizontal="center" vertical="center"/>
    </xf>
    <xf numFmtId="0" fontId="8" fillId="0" borderId="8" applyAlignment="1" pivotButton="0" quotePrefix="0" xfId="0">
      <alignment horizontal="center" vertical="center" wrapText="1"/>
    </xf>
    <xf numFmtId="0" fontId="13" fillId="0" borderId="8" applyAlignment="1" pivotButton="0" quotePrefix="0" xfId="0">
      <alignment horizontal="left" vertical="center" wrapText="1"/>
    </xf>
    <xf numFmtId="0" fontId="8" fillId="0" borderId="8" applyAlignment="1" pivotButton="0" quotePrefix="0" xfId="0">
      <alignment horizontal="left" vertical="center" wrapText="1"/>
    </xf>
    <xf numFmtId="0" fontId="1" fillId="0" borderId="11" applyAlignment="1" pivotButton="0" quotePrefix="0" xfId="0">
      <alignment horizontal="left"/>
    </xf>
    <xf numFmtId="0" fontId="3" fillId="0" borderId="11" applyAlignment="1" pivotButton="0" quotePrefix="0" xfId="0">
      <alignment horizontal="left"/>
    </xf>
    <xf numFmtId="0" fontId="3" fillId="0" borderId="12" applyAlignment="1" pivotButton="0" quotePrefix="0" xfId="0">
      <alignment horizontal="center"/>
    </xf>
    <xf numFmtId="0" fontId="14" fillId="0" borderId="13" applyAlignment="1" pivotButton="0" quotePrefix="0" xfId="0">
      <alignment horizontal="left" vertical="center" wrapText="1"/>
    </xf>
    <xf numFmtId="0" fontId="16" fillId="0" borderId="7" applyAlignment="1" pivotButton="0" quotePrefix="0" xfId="0">
      <alignment horizontal="left" vertical="center"/>
    </xf>
    <xf numFmtId="0" fontId="3" fillId="0" borderId="7" applyAlignment="1" pivotButton="0" quotePrefix="0" xfId="0">
      <alignment horizontal="left"/>
    </xf>
    <xf numFmtId="0" fontId="18" fillId="0" borderId="7" applyAlignment="1" pivotButton="0" quotePrefix="0" xfId="0">
      <alignment horizontal="left" vertical="center" wrapText="1"/>
    </xf>
    <xf numFmtId="0" fontId="19" fillId="0" borderId="0" pivotButton="0" quotePrefix="0" xfId="0"/>
    <xf numFmtId="0" fontId="20" fillId="0" borderId="7" applyAlignment="1" pivotButton="0" quotePrefix="0" xfId="0">
      <alignment horizontal="left" vertical="center" wrapText="1"/>
    </xf>
    <xf numFmtId="0" fontId="19" fillId="0" borderId="0" applyAlignment="1" pivotButton="0" quotePrefix="0" xfId="0">
      <alignment vertical="center" wrapText="1"/>
    </xf>
    <xf numFmtId="0" fontId="14" fillId="0" borderId="7" applyAlignment="1" pivotButton="0" quotePrefix="0" xfId="0">
      <alignment horizontal="left" vertical="center" wrapText="1"/>
    </xf>
    <xf numFmtId="0" fontId="8" fillId="0" borderId="4" applyAlignment="1" pivotButton="0" quotePrefix="0" xfId="0">
      <alignment vertical="top" wrapText="1"/>
    </xf>
    <xf numFmtId="0" fontId="19" fillId="0" borderId="6" pivotButton="0" quotePrefix="0" xfId="0"/>
    <xf numFmtId="0" fontId="20" fillId="0" borderId="11" applyAlignment="1" pivotButton="0" quotePrefix="0" xfId="0">
      <alignment horizontal="left" vertical="center" wrapText="1"/>
    </xf>
    <xf numFmtId="0" fontId="21" fillId="0" borderId="7" applyAlignment="1" pivotButton="0" quotePrefix="0" xfId="0">
      <alignment horizontal="left" vertical="center" wrapText="1"/>
    </xf>
    <xf numFmtId="0" fontId="19" fillId="0" borderId="11" applyAlignment="1" pivotButton="0" quotePrefix="0" xfId="0">
      <alignment horizontal="left"/>
    </xf>
    <xf numFmtId="0" fontId="19" fillId="0" borderId="7" applyAlignment="1" pivotButton="0" quotePrefix="0" xfId="0">
      <alignment horizontal="left"/>
    </xf>
    <xf numFmtId="0" fontId="3" fillId="0" borderId="3" pivotButton="0" quotePrefix="0" xfId="0"/>
    <xf numFmtId="0" fontId="25" fillId="0" borderId="8" applyAlignment="1" pivotButton="0" quotePrefix="0" xfId="0">
      <alignment horizontal="left"/>
    </xf>
    <xf numFmtId="0" fontId="25" fillId="0" borderId="7" applyAlignment="1" pivotButton="0" quotePrefix="0" xfId="0">
      <alignment horizontal="left"/>
    </xf>
    <xf numFmtId="0" fontId="3" fillId="0" borderId="11" pivotButton="0" quotePrefix="0" xfId="0"/>
    <xf numFmtId="0" fontId="26" fillId="0" borderId="11" applyAlignment="1" pivotButton="0" quotePrefix="0" xfId="0">
      <alignment horizontal="left"/>
    </xf>
    <xf numFmtId="0" fontId="16" fillId="0" borderId="0" pivotButton="0" quotePrefix="0" xfId="0"/>
    <xf numFmtId="0" fontId="26" fillId="0" borderId="0" applyAlignment="1" pivotButton="0" quotePrefix="0" xfId="0">
      <alignment horizontal="left"/>
    </xf>
    <xf numFmtId="0" fontId="26" fillId="0" borderId="11" pivotButton="0" quotePrefix="0" xfId="0"/>
    <xf numFmtId="0" fontId="3" fillId="0" borderId="7" applyAlignment="1" pivotButton="0" quotePrefix="0" xfId="0">
      <alignment vertical="center"/>
    </xf>
    <xf numFmtId="0" fontId="26" fillId="0" borderId="0" applyAlignment="1" pivotButton="0" quotePrefix="0" xfId="0">
      <alignment horizontal="right" vertical="center"/>
    </xf>
    <xf numFmtId="0" fontId="26" fillId="7" borderId="25" applyAlignment="1" pivotButton="0" quotePrefix="0" xfId="0">
      <alignment horizontal="center" vertical="center"/>
    </xf>
    <xf numFmtId="0" fontId="26" fillId="8" borderId="25" applyAlignment="1" pivotButton="0" quotePrefix="0" xfId="0">
      <alignment horizontal="center" vertical="center"/>
    </xf>
    <xf numFmtId="0" fontId="26" fillId="9" borderId="25" applyAlignment="1" pivotButton="0" quotePrefix="0" xfId="0">
      <alignment horizontal="center" vertical="center"/>
    </xf>
    <xf numFmtId="0" fontId="3" fillId="0" borderId="7" applyAlignment="1" pivotButton="0" quotePrefix="0" xfId="0">
      <alignment horizontal="left" vertical="center"/>
    </xf>
    <xf numFmtId="0" fontId="26" fillId="0" borderId="11" applyAlignment="1" pivotButton="0" quotePrefix="0" xfId="0">
      <alignment horizontal="center" vertical="center"/>
    </xf>
    <xf numFmtId="0" fontId="3" fillId="0" borderId="11" applyAlignment="1" pivotButton="0" quotePrefix="0" xfId="0">
      <alignment vertical="center"/>
    </xf>
    <xf numFmtId="0" fontId="26" fillId="10" borderId="25" applyAlignment="1" pivotButton="0" quotePrefix="0" xfId="0">
      <alignment horizontal="center" vertical="center"/>
    </xf>
    <xf numFmtId="0" fontId="26" fillId="11" borderId="25" applyAlignment="1" pivotButton="0" quotePrefix="0" xfId="0">
      <alignment horizontal="center" vertical="center"/>
    </xf>
    <xf numFmtId="0" fontId="3" fillId="0" borderId="9" pivotButton="0" quotePrefix="0" xfId="0"/>
    <xf numFmtId="0" fontId="3" fillId="0" borderId="26" applyAlignment="1" pivotButton="0" quotePrefix="0" xfId="0">
      <alignment horizontal="left"/>
    </xf>
    <xf numFmtId="0" fontId="16" fillId="0" borderId="0" applyAlignment="1" pivotButton="0" quotePrefix="0" xfId="0">
      <alignment vertical="center" wrapText="1"/>
    </xf>
    <xf numFmtId="0" fontId="26" fillId="0" borderId="0" applyAlignment="1" pivotButton="0" quotePrefix="0" xfId="0">
      <alignment vertical="center" wrapText="1"/>
    </xf>
    <xf numFmtId="0" fontId="1" fillId="0" borderId="2" applyAlignment="1" pivotButton="0" quotePrefix="0" xfId="0">
      <alignment horizontal="left"/>
    </xf>
    <xf numFmtId="0" fontId="2" fillId="0" borderId="1" pivotButton="0" quotePrefix="0" xfId="0"/>
    <xf numFmtId="0" fontId="22" fillId="0" borderId="14" applyAlignment="1" pivotButton="0" quotePrefix="0" xfId="0">
      <alignment horizontal="center" vertical="center"/>
    </xf>
    <xf numFmtId="0" fontId="2" fillId="0" borderId="18" pivotButton="0" quotePrefix="0" xfId="0"/>
    <xf numFmtId="0" fontId="24" fillId="0" borderId="22" applyAlignment="1" pivotButton="0" quotePrefix="0" xfId="0">
      <alignment horizontal="right"/>
    </xf>
    <xf numFmtId="0" fontId="2" fillId="0" borderId="23" pivotButton="0" quotePrefix="0" xfId="0"/>
    <xf numFmtId="0" fontId="2" fillId="0" borderId="24" pivotButton="0" quotePrefix="0" xfId="0"/>
    <xf numFmtId="0" fontId="16" fillId="0" borderId="0" applyAlignment="1" pivotButton="0" quotePrefix="0" xfId="0">
      <alignment horizontal="left"/>
    </xf>
    <xf numFmtId="0" fontId="0" fillId="0" borderId="0" pivotButton="0" quotePrefix="0" xfId="0"/>
    <xf numFmtId="0" fontId="19" fillId="0" borderId="0" applyAlignment="1" pivotButton="0" quotePrefix="0" xfId="0">
      <alignment vertical="center" wrapText="1"/>
    </xf>
    <xf numFmtId="0" fontId="17" fillId="3" borderId="0" applyAlignment="1" pivotButton="0" quotePrefix="0" xfId="0">
      <alignment vertical="center" wrapText="1"/>
    </xf>
    <xf numFmtId="0" fontId="19" fillId="0" borderId="0" applyAlignment="1" pivotButton="0" quotePrefix="0" xfId="0">
      <alignment horizontal="left" vertical="center" wrapText="1"/>
    </xf>
    <xf numFmtId="0" fontId="16" fillId="0" borderId="14" applyAlignment="1" pivotButton="0" quotePrefix="0" xfId="0">
      <alignment horizontal="center" vertical="center"/>
    </xf>
    <xf numFmtId="0" fontId="22" fillId="0" borderId="15" applyAlignment="1" pivotButton="0" quotePrefix="0" xfId="0">
      <alignment horizontal="center" vertical="center"/>
    </xf>
    <xf numFmtId="0" fontId="2" fillId="0" borderId="16" pivotButton="0" quotePrefix="0" xfId="0"/>
    <xf numFmtId="0" fontId="2" fillId="0" borderId="17" pivotButton="0" quotePrefix="0" xfId="0"/>
    <xf numFmtId="0" fontId="2" fillId="0" borderId="19" pivotButton="0" quotePrefix="0" xfId="0"/>
    <xf numFmtId="0" fontId="2" fillId="0" borderId="20" pivotButton="0" quotePrefix="0" xfId="0"/>
    <xf numFmtId="0" fontId="2" fillId="0" borderId="21" pivotButton="0" quotePrefix="0" xfId="0"/>
    <xf numFmtId="0" fontId="23" fillId="0" borderId="14" applyAlignment="1" pivotButton="0" quotePrefix="0" xfId="0">
      <alignment horizontal="center" vertical="center"/>
    </xf>
    <xf numFmtId="0" fontId="15" fillId="6" borderId="0" applyAlignment="1" pivotButton="0" quotePrefix="0" xfId="0">
      <alignment horizontal="left" vertical="center"/>
    </xf>
    <xf numFmtId="0" fontId="1" fillId="0" borderId="1" applyAlignment="1" pivotButton="0" quotePrefix="0" xfId="0">
      <alignment horizontal="left"/>
    </xf>
    <xf numFmtId="0" fontId="0" fillId="0" borderId="1" pivotButton="0" quotePrefix="0" xfId="0"/>
    <xf numFmtId="0" fontId="9" fillId="0" borderId="4" pivotButton="0" quotePrefix="0" xfId="0"/>
    <xf numFmtId="0" fontId="9" fillId="0" borderId="5" applyAlignment="1" pivotButton="0" quotePrefix="0" xfId="0">
      <alignment horizontal="left"/>
    </xf>
    <xf numFmtId="0" fontId="9" fillId="0" borderId="6" pivotButton="0" quotePrefix="0" xfId="0"/>
    <xf numFmtId="0" fontId="11" fillId="2" borderId="25" applyAlignment="1" pivotButton="0" quotePrefix="0" xfId="0">
      <alignment horizontal="left" vertical="center" wrapText="1"/>
    </xf>
    <xf numFmtId="0" fontId="7" fillId="3" borderId="25" applyAlignment="1" pivotButton="0" quotePrefix="0" xfId="0">
      <alignment vertical="center"/>
    </xf>
    <xf numFmtId="0" fontId="15" fillId="6" borderId="25" applyAlignment="1" pivotButton="0" quotePrefix="0" xfId="0">
      <alignment horizontal="left" vertical="center"/>
    </xf>
    <xf numFmtId="0" fontId="17" fillId="3" borderId="25" applyAlignment="1" pivotButton="0" quotePrefix="0" xfId="0">
      <alignment vertical="center" wrapText="1"/>
    </xf>
    <xf numFmtId="0" fontId="19" fillId="0" borderId="25" applyAlignment="1" pivotButton="0" quotePrefix="0" xfId="0">
      <alignment horizontal="left" vertical="center" wrapText="1"/>
    </xf>
    <xf numFmtId="0" fontId="19" fillId="0" borderId="25" applyAlignment="1" pivotButton="0" quotePrefix="0" xfId="0">
      <alignment vertical="center" wrapText="1"/>
    </xf>
    <xf numFmtId="0" fontId="16" fillId="0" borderId="8" applyAlignment="1" pivotButton="0" quotePrefix="0" xfId="0">
      <alignment horizontal="center" vertical="center"/>
    </xf>
    <xf numFmtId="0" fontId="22" fillId="0" borderId="8" applyAlignment="1" pivotButton="0" quotePrefix="0" xfId="0">
      <alignment horizontal="center" vertical="center"/>
    </xf>
    <xf numFmtId="0" fontId="0" fillId="0" borderId="16" pivotButton="0" quotePrefix="0" xfId="0"/>
    <xf numFmtId="0" fontId="0" fillId="0" borderId="17" pivotButton="0" quotePrefix="0" xfId="0"/>
    <xf numFmtId="0" fontId="23" fillId="0" borderId="8" applyAlignment="1" pivotButton="0" quotePrefix="0" xfId="0">
      <alignment horizontal="center" vertical="center"/>
    </xf>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24" fillId="0" borderId="8" applyAlignment="1" pivotButton="0" quotePrefix="0" xfId="0">
      <alignment horizontal="right"/>
    </xf>
    <xf numFmtId="0" fontId="0" fillId="0" borderId="23" pivotButton="0" quotePrefix="0" xfId="0"/>
    <xf numFmtId="0" fontId="0" fillId="0" borderId="24" pivotButton="0" quotePrefix="0" xfId="0"/>
    <xf numFmtId="0" fontId="16" fillId="0" borderId="25" applyAlignment="1" pivotButton="0" quotePrefix="0" xfId="0">
      <alignment horizontal="left"/>
    </xf>
  </cellXfs>
  <cellStyles count="1">
    <cellStyle name="Normal" xfId="0" builtinId="0"/>
  </cellStyles>
  <dxfs count="14">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color rgb="FF92D050"/>
      </font>
      <fill>
        <patternFill patternType="solid">
          <fgColor rgb="FFFFFFFF"/>
          <bgColor rgb="FFFFFFFF"/>
        </patternFill>
      </fill>
    </dxf>
    <dxf>
      <font>
        <color rgb="FFF1C232"/>
      </font>
      <fill>
        <patternFill patternType="solid">
          <fgColor rgb="FFFFFFFF"/>
          <bgColor rgb="FFFFFFFF"/>
        </patternFill>
      </fill>
    </dxf>
    <dxf>
      <font>
        <color rgb="FFFFC000"/>
      </font>
      <fill>
        <patternFill patternType="solid">
          <fgColor rgb="FFFFFFFF"/>
          <bgColor rgb="FFFFFFFF"/>
        </patternFill>
      </fill>
    </dxf>
    <dxf>
      <font>
        <color rgb="FFFF0000"/>
      </font>
      <fill>
        <patternFill patternType="solid">
          <fgColor rgb="FFFFFFFF"/>
          <bgColor rgb="FFFFFFFF"/>
        </patternFill>
      </fill>
    </dxf>
    <dxf>
      <font>
        <color rgb="FF7030A0"/>
      </font>
      <fill>
        <patternFill patternType="solid">
          <fgColor rgb="FFFFFFFF"/>
          <bgColor rgb="FFFFFFFF"/>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B5" authorId="0" shapeId="0">
      <text>
        <t>======
ID#AAAAX7SP-TQ
    (2022-04-09 13:28:44)
How technically skilled is this group of threat agents?</t>
      </text>
    </comment>
    <comment ref="G5" authorId="0" shapeId="0">
      <text>
        <t>======
ID#AAAAX7SP-S8
    (2022-04-09 13:28:43)
How much data could be disclosed and how sensitive is it?</t>
      </text>
    </comment>
    <comment ref="B6" authorId="0" shapeId="0">
      <text>
        <t>======
ID#AAAAX7SP-TI
    (2022-04-09 13:28:43)
How motivated is this group of threat agents to find and exploit this vulnerability?</t>
      </text>
    </comment>
    <comment ref="G6" authorId="0" shapeId="0">
      <text>
        <t>======
ID#AAAAX797ay0
    (2022-04-09 13:28:44)
How much data could be corrupted and how damaged is it?</t>
      </text>
    </comment>
    <comment ref="B7" authorId="0" shapeId="0">
      <text>
        <t>======
ID#AAAAX7SP-TE
    (2022-04-09 13:28:43)
What resources and opportunities are required for this group of threat agents to find and exploit this vulnerability?</t>
      </text>
    </comment>
    <comment ref="G7" authorId="0" shapeId="0">
      <text>
        <t>======
ID#AAAAX7SP-TM
    (2022-04-09 13:28:43)
How much service could be lost and how vital is it?</t>
      </text>
    </comment>
    <comment ref="B8" authorId="0" shapeId="0">
      <text>
        <t>======
ID#AAAAX797azA
    (2022-04-09 13:28:44)
How large is this group of threat agents?</t>
      </text>
    </comment>
    <comment ref="G8" authorId="0" shapeId="0">
      <text>
        <t>======
ID#AAAAX7SP-TA
    (2022-04-09 13:28:43)
Are the threat agents' actions traceable to an individual?</t>
      </text>
    </comment>
    <comment ref="B11" authorId="0" shapeId="0">
      <text>
        <t>======
ID#AAAAX797ayw
    (2022-04-09 13:28:44)
How easy is it for this group of threat agents to discover this vulnerability?</t>
      </text>
    </comment>
    <comment ref="G11" authorId="0" shapeId="0">
      <text>
        <t>======
ID#AAAAX7SP-Tc
    (2022-04-09 13:28:44)
How much financial damage will result from an exploit?</t>
      </text>
    </comment>
    <comment ref="B12" authorId="0" shapeId="0">
      <text>
        <t>======
ID#AAAAX797ay4
    (2022-04-09 13:28:44)
How easy is it for this group of threat agents to actually exploit this vulnerability?</t>
      </text>
    </comment>
    <comment ref="G12" authorId="0" shapeId="0">
      <text>
        <t>======
ID#AAAAX797azE
    (2022-04-09 13:28:44)
Would an exploit result in reputation damage that would harm the business?</t>
      </text>
    </comment>
    <comment ref="B13" authorId="0" shapeId="0">
      <text>
        <t>======
ID#AAAAX797ay8
    (2022-04-09 13:28:44)
How well known is this vulnerability to this group of threat agents?</t>
      </text>
    </comment>
    <comment ref="G13" authorId="0" shapeId="0">
      <text>
        <t>======
ID#AAAAX7SP-TY
    (2022-04-09 13:28:44)
How much exposure does non-compliance introduce?</t>
      </text>
    </comment>
    <comment ref="B14" authorId="0" shapeId="0">
      <text>
        <t>======
ID#AAAAX7SP-Tg
    (2022-04-09 13:28:44)
How likely is an exploit to be detected?</t>
      </text>
    </comment>
    <comment ref="G14" authorId="0" shapeId="0">
      <text>
        <t>======
ID#AAAAX7SP-TU
    (2022-04-09 13:28:44)
How much personally identifiable information could be disclosed?</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G148"/>
  <sheetViews>
    <sheetView showGridLines="0" tabSelected="1" workbookViewId="0">
      <selection activeCell="B1" sqref="B1:C1"/>
    </sheetView>
  </sheetViews>
  <sheetFormatPr baseColWidth="10" defaultColWidth="12.6640625" defaultRowHeight="15.75" customHeight="1"/>
  <cols>
    <col width="3.6640625" customWidth="1" style="82" min="1" max="1"/>
    <col width="26.5" customWidth="1" style="82" min="2" max="2"/>
    <col width="44.6640625" customWidth="1" style="82" min="3" max="3"/>
    <col width="54.5" customWidth="1" style="82" min="4" max="4"/>
    <col width="19.6640625" customWidth="1" style="82" min="6" max="6"/>
    <col width="3.83203125" customWidth="1" style="82" min="7" max="7"/>
  </cols>
  <sheetData>
    <row r="1" ht="37.5" customHeight="1" s="82">
      <c r="A1" s="1" t="n"/>
      <c r="B1" s="95" t="inlineStr">
        <is>
          <t>OWASP: Testing Guide Checklist</t>
        </is>
      </c>
      <c r="C1" s="96" t="n"/>
      <c r="D1" s="1" t="n"/>
      <c r="E1" s="3" t="n"/>
      <c r="F1" s="3" t="n"/>
      <c r="G1" s="4" t="n"/>
    </row>
    <row r="2" ht="15" customHeight="1" s="82">
      <c r="A2" s="5" t="n"/>
      <c r="B2" s="6" t="n"/>
      <c r="C2" s="7" t="n"/>
      <c r="D2" s="7" t="n"/>
      <c r="E2" s="7" t="n"/>
      <c r="F2" s="7" t="n"/>
      <c r="G2" s="8" t="n"/>
    </row>
    <row r="3" ht="5" customHeight="1" s="82">
      <c r="A3" s="97" t="n"/>
      <c r="B3" s="98" t="n"/>
      <c r="C3" s="99" t="n"/>
      <c r="D3" s="99" t="n"/>
      <c r="E3" s="99" t="n"/>
      <c r="F3" s="99" t="n"/>
      <c r="G3" s="12" t="n"/>
    </row>
    <row r="4" ht="5" customHeight="1" s="82">
      <c r="A4" s="97" t="n"/>
      <c r="B4" s="98" t="n"/>
      <c r="C4" s="99" t="n"/>
      <c r="D4" s="99" t="n"/>
      <c r="E4" s="99" t="n"/>
      <c r="F4" s="99" t="n"/>
      <c r="G4" s="19" t="n"/>
    </row>
    <row r="5" ht="47.25" customHeight="1" s="82">
      <c r="A5" s="9" t="n"/>
      <c r="B5" s="100" t="inlineStr">
        <is>
          <t>Information Gathering</t>
        </is>
      </c>
      <c r="C5" s="101" t="inlineStr">
        <is>
          <t>Test Name</t>
        </is>
      </c>
      <c r="D5" s="101" t="inlineStr">
        <is>
          <t>Objectives</t>
        </is>
      </c>
      <c r="E5" s="101" t="inlineStr">
        <is>
          <t>Status</t>
        </is>
      </c>
      <c r="F5" s="101" t="inlineStr">
        <is>
          <t>Notes</t>
        </is>
      </c>
    </row>
    <row r="6" ht="49.5" customHeight="1" s="82">
      <c r="A6" s="19" t="n"/>
      <c r="B6" s="34" t="inlineStr">
        <is>
          <t>WSTG-INFO-01</t>
        </is>
      </c>
      <c r="C6" s="15">
        <f>HYPERLINK("https://owasp.org/www-project-web-security-testing-guide/latest/4-Web_Application_Security_Testing/01-Information_Gathering/01-Conduct_Search_Engine_Reconnaissance_for_Information_Leakage", "Realizar reconocimiento de motores de búsqueda para detectar filtraciones de información")</f>
        <v/>
      </c>
      <c r="D6" s="16" t="inlineStr">
        <is>
          <t>N/A</t>
        </is>
      </c>
      <c r="E6" s="18" t="inlineStr">
        <is>
          <t>Not Started</t>
        </is>
      </c>
      <c r="F6" s="18" t="n"/>
    </row>
    <row r="7" ht="16.5" customHeight="1" s="82">
      <c r="A7" s="19" t="n"/>
      <c r="B7" s="34" t="inlineStr">
        <is>
          <t>WSTG-INFO-02</t>
        </is>
      </c>
      <c r="C7" s="15">
        <f>HYPERLINK("https://owasp.org/www-project-web-security-testing-guide/latest/4-Web_Application_Security_Testing/01-Information_Gathering/02-Fingerprint_Web_Server", "Identificación del servidor web")</f>
        <v/>
      </c>
      <c r="D7" s="16" t="inlineStr">
        <is>
          <t>N/A</t>
        </is>
      </c>
      <c r="E7" s="18" t="inlineStr">
        <is>
          <t>Not Started</t>
        </is>
      </c>
      <c r="F7" s="18" t="n"/>
    </row>
    <row r="8" ht="49.5" customHeight="1" s="82">
      <c r="A8" s="19" t="n"/>
      <c r="B8" s="34" t="inlineStr">
        <is>
          <t>WSTG-INFO-03</t>
        </is>
      </c>
      <c r="C8" s="15">
        <f>HYPERLINK("https://owasp.org/www-project-web-security-testing-guide/latest/4-Web_Application_Security_Testing/01-Information_Gathering/03-Review_Webserver_Metafiles_for_Information_Leakage", "Revisar los archivos de metadatos del servidor web para detectar fugas de información")</f>
        <v/>
      </c>
      <c r="D8" s="16" t="inlineStr">
        <is>
          <t>N/A</t>
        </is>
      </c>
      <c r="E8" s="18" t="inlineStr">
        <is>
          <t>Not Started</t>
        </is>
      </c>
      <c r="F8" s="18" t="n"/>
    </row>
    <row r="9" ht="33" customHeight="1" s="82">
      <c r="A9" s="19" t="n"/>
      <c r="B9" s="34" t="inlineStr">
        <is>
          <t>WSTG-INFO-04</t>
        </is>
      </c>
      <c r="C9" s="15">
        <f>HYPERLINK("https://owasp.org/www-project-web-security-testing-guide/latest/4-Web_Application_Security_Testing/01-Information_Gathering/04-Attack_Surface_Identification", "Identificación de la superficie de ataque")</f>
        <v/>
      </c>
      <c r="D9" s="16" t="inlineStr">
        <is>
          <t>N/A</t>
        </is>
      </c>
      <c r="E9" s="18" t="inlineStr">
        <is>
          <t>Not Started</t>
        </is>
      </c>
      <c r="F9" s="18" t="n"/>
    </row>
    <row r="10" ht="33" customHeight="1" s="82">
      <c r="A10" s="19" t="n"/>
      <c r="B10" s="34" t="inlineStr">
        <is>
          <t>WSTG-INFO-05</t>
        </is>
      </c>
      <c r="C10" s="15">
        <f>HYPERLINK("https://owasp.org/www-project-web-security-testing-guide/latest/4-Web_Application_Security_Testing/01-Information_Gathering/05-Review_Web_Page_Content_for_Information_Leakage", "Revisar el contenido de las páginas web para detectar fugas de información")</f>
        <v/>
      </c>
      <c r="D10" s="16" t="inlineStr">
        <is>
          <t>N/A</t>
        </is>
      </c>
      <c r="E10" s="18" t="inlineStr">
        <is>
          <t>Not Started</t>
        </is>
      </c>
      <c r="F10" s="18" t="n"/>
    </row>
    <row r="11" ht="33" customHeight="1" s="82">
      <c r="A11" s="19" t="n"/>
      <c r="B11" s="34" t="inlineStr">
        <is>
          <t>WSTG-INFO-06</t>
        </is>
      </c>
      <c r="C11" s="15">
        <f>HYPERLINK("https://owasp.org/www-project-web-security-testing-guide/latest/4-Web_Application_Security_Testing/01-Information_Gathering/06-Identify_Application_Entry_Points", "Identificar los puntos de entrada de la aplicación")</f>
        <v/>
      </c>
      <c r="D11" s="16" t="inlineStr">
        <is>
          <t>N/A</t>
        </is>
      </c>
      <c r="E11" s="18" t="inlineStr">
        <is>
          <t>Not Started</t>
        </is>
      </c>
      <c r="F11" s="18" t="n"/>
    </row>
    <row r="12" ht="33" customHeight="1" s="82">
      <c r="A12" s="19" t="n"/>
      <c r="B12" s="34" t="inlineStr">
        <is>
          <t>WSTG-INFO-07</t>
        </is>
      </c>
      <c r="C12" s="15">
        <f>HYPERLINK("https://owasp.org/www-project-web-security-testing-guide/latest/4-Web_Application_Security_Testing/01-Information_Gathering/07-Map_Execution_Paths_Through_Application", "Mapear las rutas de ejecución de la aplicación")</f>
        <v/>
      </c>
      <c r="D12" s="16" t="inlineStr">
        <is>
          <t>N/A</t>
        </is>
      </c>
      <c r="E12" s="18" t="inlineStr">
        <is>
          <t>Not Started</t>
        </is>
      </c>
      <c r="F12" s="18" t="n"/>
    </row>
    <row r="13" ht="33" customHeight="1" s="82">
      <c r="A13" s="19" t="n"/>
      <c r="B13" s="34" t="inlineStr">
        <is>
          <t>WSTG-INFO-08</t>
        </is>
      </c>
      <c r="C13" s="15">
        <f>HYPERLINK("https://owasp.org/www-project-web-security-testing-guide/latest/4-Web_Application_Security_Testing/01-Information_Gathering/08-Fingerprint_Web_Application_Framework", "Identificar la huella digital del framework de una aplicación web")</f>
        <v/>
      </c>
      <c r="D13" s="16" t="inlineStr">
        <is>
          <t>N/A</t>
        </is>
      </c>
      <c r="E13" s="18" t="inlineStr">
        <is>
          <t>Not Started</t>
        </is>
      </c>
      <c r="F13" s="18" t="n"/>
    </row>
    <row r="14" ht="16.5" customHeight="1" s="82">
      <c r="A14" s="19" t="n"/>
      <c r="B14" s="34" t="inlineStr">
        <is>
          <t>WSTG-INFO-09</t>
        </is>
      </c>
      <c r="C14" s="15">
        <f>HYPERLINK("https://owasp.org/www-project-web-security-testing-guide/latest/4-Web_Application_Security_Testing/01-Information_Gathering/09-Fingerprint_Web_Application", "Huella digital de la aplicación web")</f>
        <v/>
      </c>
      <c r="D14" s="16" t="inlineStr">
        <is>
          <t>N/A</t>
        </is>
      </c>
      <c r="E14" s="18" t="inlineStr">
        <is>
          <t>Not Started</t>
        </is>
      </c>
      <c r="F14" s="18" t="n"/>
    </row>
    <row r="15" ht="16.5" customHeight="1" s="82">
      <c r="A15" s="19" t="n"/>
      <c r="B15" s="34" t="inlineStr">
        <is>
          <t>WSTG-INFO-10</t>
        </is>
      </c>
      <c r="C15" s="15">
        <f>HYPERLINK("https://owasp.org/www-project-web-security-testing-guide/latest/4-Web_Application_Security_Testing/01-Information_Gathering/10-Map_Application_Architecture", "Mapear la arquitectura de la aplicación")</f>
        <v/>
      </c>
      <c r="D15" s="16" t="inlineStr">
        <is>
          <t>N/A</t>
        </is>
      </c>
      <c r="E15" s="18" t="inlineStr">
        <is>
          <t>Not Started</t>
        </is>
      </c>
      <c r="F15" s="18" t="n"/>
    </row>
    <row r="16" ht="15" customHeight="1" s="82">
      <c r="A16" s="97" t="n"/>
      <c r="B16" s="98" t="n"/>
      <c r="C16" s="99" t="n"/>
      <c r="D16" s="99" t="n"/>
      <c r="E16" s="99" t="n"/>
      <c r="F16" s="99" t="n"/>
    </row>
    <row r="17" ht="47.25" customHeight="1" s="82">
      <c r="A17" s="9" t="n"/>
      <c r="B17" s="100" t="inlineStr">
        <is>
          <t>Configuration and Deployment Management</t>
        </is>
      </c>
      <c r="C17" s="101" t="inlineStr">
        <is>
          <t>Test Name</t>
        </is>
      </c>
      <c r="D17" s="101" t="inlineStr">
        <is>
          <t>Objectives</t>
        </is>
      </c>
      <c r="E17" s="101" t="inlineStr">
        <is>
          <t>Status</t>
        </is>
      </c>
      <c r="F17" s="101" t="inlineStr">
        <is>
          <t>Notes</t>
        </is>
      </c>
    </row>
    <row r="18" ht="33" customHeight="1" s="82">
      <c r="A18" s="19" t="n"/>
      <c r="B18" s="34" t="inlineStr">
        <is>
          <t>WSTG-CONF-01</t>
        </is>
      </c>
      <c r="C18" s="15">
        <f>HYPERLINK("https://owasp.org/www-project-web-security-testing-guide/latest/4-Web_Application_Security_Testing/02-Configuration_and_Deployment_Management/01-Network_Infrastructure_Configuration", "Configuración de la infraestructura de red")</f>
        <v/>
      </c>
      <c r="D18" s="16" t="inlineStr">
        <is>
          <t>N/A</t>
        </is>
      </c>
      <c r="E18" s="18" t="inlineStr">
        <is>
          <t>Not Started</t>
        </is>
      </c>
      <c r="F18" s="18" t="n"/>
    </row>
    <row r="19" ht="33" customHeight="1" s="82">
      <c r="A19" s="19" t="n"/>
      <c r="B19" s="34" t="inlineStr">
        <is>
          <t>WSTG-CONF-02</t>
        </is>
      </c>
      <c r="C19" s="15">
        <f>HYPERLINK("https://owasp.org/www-project-web-security-testing-guide/latest/4-Web_Application_Security_Testing/02-Configuration_and_Deployment_Management/02-Application_Platform_Configuration", "Configuración de la plataforma de aplicación")</f>
        <v/>
      </c>
      <c r="D19" s="16" t="inlineStr">
        <is>
          <t>N/A</t>
        </is>
      </c>
      <c r="E19" s="18" t="inlineStr">
        <is>
          <t>Not Started</t>
        </is>
      </c>
      <c r="F19" s="18" t="n"/>
    </row>
    <row r="20" ht="33" customHeight="1" s="82">
      <c r="A20" s="19" t="n"/>
      <c r="B20" s="34" t="inlineStr">
        <is>
          <t>WSTG-CONF-03</t>
        </is>
      </c>
      <c r="C20" s="15">
        <f>HYPERLINK("https://owasp.org/www-project-web-security-testing-guide/latest/4-Web_Application_Security_Testing/02-Configuration_and_Deployment_Management/03-File_Extensions_Handling_for_Sensitive_Information", "Manejo de extensiones de archivo para información sensible")</f>
        <v/>
      </c>
      <c r="D20" s="16" t="inlineStr">
        <is>
          <t>N/A</t>
        </is>
      </c>
      <c r="E20" s="18" t="inlineStr">
        <is>
          <t>Not Started</t>
        </is>
      </c>
      <c r="F20" s="18" t="n"/>
    </row>
    <row r="21" ht="49.5" customHeight="1" s="82">
      <c r="A21" s="19" t="n"/>
      <c r="B21" s="34" t="inlineStr">
        <is>
          <t>WSTG-CONF-04</t>
        </is>
      </c>
      <c r="C21" s="15">
        <f>HYPERLINK("https://owasp.org/www-project-web-security-testing-guide/latest/4-Web_Application_Security_Testing/02-Configuration_and_Deployment_Management/04-Review_Old_Backup_and_Unreferenced_Files_for_Sensitive_Information", "Revisar archivos antiguos de respaldo y no referenciados en busca de información sensible")</f>
        <v/>
      </c>
      <c r="D21" s="16" t="inlineStr">
        <is>
          <t>N/A</t>
        </is>
      </c>
      <c r="E21" s="18" t="inlineStr">
        <is>
          <t>Not Started</t>
        </is>
      </c>
      <c r="F21" s="18" t="n"/>
    </row>
    <row r="22" ht="33" customHeight="1" s="82">
      <c r="A22" s="19" t="n"/>
      <c r="B22" s="34" t="inlineStr">
        <is>
          <t>WSTG-CONF-05</t>
        </is>
      </c>
      <c r="C22" s="15">
        <f>HYPERLINK("https://owasp.org/www-project-web-security-testing-guide/latest/4-Web_Application_Security_Testing/02-Configuration_and_Deployment_Management/05-Enumerate_Infrastructure_and_Application_Admin_Interfaces", "Enumerar interfaces de administración de infraestructura y aplicaciones")</f>
        <v/>
      </c>
      <c r="D22" s="16" t="inlineStr">
        <is>
          <t>N/A</t>
        </is>
      </c>
      <c r="E22" s="18" t="inlineStr">
        <is>
          <t>Not Started</t>
        </is>
      </c>
      <c r="F22" s="18" t="n"/>
    </row>
    <row r="23" ht="16.5" customHeight="1" s="82">
      <c r="A23" s="19" t="n"/>
      <c r="B23" s="34" t="inlineStr">
        <is>
          <t>WSTG-CONF-06</t>
        </is>
      </c>
      <c r="C23" s="15">
        <f>HYPERLINK("https://owasp.org/www-project-web-security-testing-guide/latest/4-Web_Application_Security_Testing/02-Configuration_and_Deployment_Management/06-HTTP_Methods", "Métodos HTTP")</f>
        <v/>
      </c>
      <c r="D23" s="16" t="inlineStr">
        <is>
          <t>N/A</t>
        </is>
      </c>
      <c r="E23" s="18" t="inlineStr">
        <is>
          <t>Not Started</t>
        </is>
      </c>
      <c r="F23" s="18" t="n"/>
    </row>
    <row r="24" ht="16.5" customHeight="1" s="82">
      <c r="A24" s="19" t="n"/>
      <c r="B24" s="34" t="inlineStr">
        <is>
          <t>WSTG-CONF-07</t>
        </is>
      </c>
      <c r="C24" s="15">
        <f>HYPERLINK("https://owasp.org/www-project-web-security-testing-guide/latest/4-Web_Application_Security_Testing/02-Configuration_and_Deployment_Management/07-HTTP_Strict_Transport_Security", "HTTP Strict Transport Security")</f>
        <v/>
      </c>
      <c r="D24" s="16" t="inlineStr">
        <is>
          <t>N/A</t>
        </is>
      </c>
      <c r="E24" s="18" t="inlineStr">
        <is>
          <t>Not Started</t>
        </is>
      </c>
      <c r="F24" s="18" t="n"/>
    </row>
    <row r="25" ht="16.5" customHeight="1" s="82">
      <c r="A25" s="19" t="n"/>
      <c r="B25" s="34" t="inlineStr">
        <is>
          <t>WSTG-CONF-08</t>
        </is>
      </c>
      <c r="C25" s="15">
        <f>HYPERLINK("https://owasp.org/www-project-web-security-testing-guide/latest/4-Web_Application_Security_Testing/02-Configuration_and_Deployment_Management/08-RIA_Cross_Domain_Policy", "Política de dominio cruzado de RIA")</f>
        <v/>
      </c>
      <c r="D25" s="16" t="inlineStr">
        <is>
          <t>N/A</t>
        </is>
      </c>
      <c r="E25" s="18" t="inlineStr">
        <is>
          <t>Not Started</t>
        </is>
      </c>
      <c r="F25" s="18" t="n"/>
    </row>
    <row r="26" ht="16.5" customHeight="1" s="82">
      <c r="A26" s="19" t="n"/>
      <c r="B26" s="34" t="inlineStr">
        <is>
          <t>WSTG-CONF-09</t>
        </is>
      </c>
      <c r="C26" s="15">
        <f>HYPERLINK("https://owasp.org/www-project-web-security-testing-guide/latest/4-Web_Application_Security_Testing/02-Configuration_and_Deployment_Management/09-File_Permissions", "Permisos de archivos")</f>
        <v/>
      </c>
      <c r="D26" s="16" t="inlineStr">
        <is>
          <t>N/A</t>
        </is>
      </c>
      <c r="E26" s="18" t="inlineStr">
        <is>
          <t>Not Started</t>
        </is>
      </c>
      <c r="F26" s="18" t="n"/>
    </row>
    <row r="27" ht="16.5" customHeight="1" s="82">
      <c r="A27" s="19" t="n"/>
      <c r="B27" s="34" t="inlineStr">
        <is>
          <t>WSTG-CONF-10</t>
        </is>
      </c>
      <c r="C27" s="15">
        <f>HYPERLINK("https://owasp.org/www-project-web-security-testing-guide/latest/4-Web_Application_Security_Testing/02-Configuration_and_Deployment_Management/10-Subdomain_Takeover", "Secuestro de subdominios")</f>
        <v/>
      </c>
      <c r="D27" s="16" t="inlineStr">
        <is>
          <t>N/A</t>
        </is>
      </c>
      <c r="E27" s="18" t="inlineStr">
        <is>
          <t>Not Started</t>
        </is>
      </c>
      <c r="F27" s="18" t="n"/>
    </row>
    <row r="28" ht="16.5" customHeight="1" s="82">
      <c r="A28" s="19" t="n"/>
      <c r="B28" s="34" t="inlineStr">
        <is>
          <t>WSTG-CONF-11</t>
        </is>
      </c>
      <c r="C28" s="15">
        <f>HYPERLINK("https://owasp.org/www-project-web-security-testing-guide/latest/4-Web_Application_Security_Testing/02-Configuration_and_Deployment_Management/11-Cloud_Storage", "Almacenamiento en la nube")</f>
        <v/>
      </c>
      <c r="D28" s="16" t="inlineStr">
        <is>
          <t>N/A</t>
        </is>
      </c>
      <c r="E28" s="18" t="inlineStr">
        <is>
          <t>Not Started</t>
        </is>
      </c>
      <c r="F28" s="18" t="n"/>
    </row>
    <row r="29" ht="16.5" customHeight="1" s="82">
      <c r="A29" s="19" t="n"/>
      <c r="B29" s="34" t="inlineStr">
        <is>
          <t>WSTG-CONF-12</t>
        </is>
      </c>
      <c r="C29" s="15">
        <f>HYPERLINK("https://owasp.org/www-project-web-security-testing-guide/latest/4-Web_Application_Security_Testing/02-Configuration_and_Deployment_Management/12-Content_Security_Policy", "Política de seguridad de contenido")</f>
        <v/>
      </c>
      <c r="D29" s="16" t="inlineStr">
        <is>
          <t>N/A</t>
        </is>
      </c>
      <c r="E29" s="18" t="inlineStr">
        <is>
          <t>Not Started</t>
        </is>
      </c>
      <c r="F29" s="18" t="n"/>
    </row>
    <row r="30" ht="16.5" customHeight="1" s="82">
      <c r="A30" s="19" t="n"/>
      <c r="B30" s="34" t="inlineStr">
        <is>
          <t>WSTG-CONF-13</t>
        </is>
      </c>
      <c r="C30" s="15">
        <f>HYPERLINK("https://owasp.org/www-project-web-security-testing-guide/latest/4-Web_Application_Security_Testing/02-Configuration_and_Deployment_Management/13-Path_Confusion", "Confusión de rutas")</f>
        <v/>
      </c>
      <c r="D30" s="16" t="inlineStr">
        <is>
          <t>N/A</t>
        </is>
      </c>
      <c r="E30" s="18" t="inlineStr">
        <is>
          <t>Not Started</t>
        </is>
      </c>
      <c r="F30" s="18" t="n"/>
    </row>
    <row r="31" ht="33" customHeight="1" s="82">
      <c r="A31" s="19" t="n"/>
      <c r="B31" s="34" t="inlineStr">
        <is>
          <t>WSTG-CONF-14</t>
        </is>
      </c>
      <c r="C31" s="15">
        <f>HYPERLINK("https://owasp.org/www-project-web-security-testing-guide/latest/4-Web_Application_Security_Testing/02-Configuration_and_Deployment_Management/14-Other_HTTP_Security_Header_Misconfigurations", "Otras configuraciones incorrectas de encabezados de seguridad HTTP")</f>
        <v/>
      </c>
      <c r="D31" s="16" t="inlineStr">
        <is>
          <t>N/A</t>
        </is>
      </c>
      <c r="E31" s="18" t="inlineStr">
        <is>
          <t>Not Started</t>
        </is>
      </c>
      <c r="F31" s="18" t="n"/>
    </row>
    <row r="32" ht="33" customHeight="1" s="82">
      <c r="A32" s="19" t="n"/>
      <c r="B32" s="34" t="inlineStr">
        <is>
          <t>WSTG-CONF-15</t>
        </is>
      </c>
      <c r="C32" s="15">
        <f>HYPERLINK("https://owasp.org/www-project-web-security-testing-guide/latest/4-Web_Application_Security_Testing/02-Configuration_and_Deployment_Management/15-Feature_Flag_Security_Bypass", "Evasión de seguridad mediante indicadores de funcionalidad")</f>
        <v/>
      </c>
      <c r="D32" s="16" t="inlineStr">
        <is>
          <t>N/A</t>
        </is>
      </c>
      <c r="E32" s="18" t="inlineStr">
        <is>
          <t>Not Started</t>
        </is>
      </c>
      <c r="F32" s="18" t="n"/>
    </row>
    <row r="33" ht="15" customHeight="1" s="82">
      <c r="A33" s="97" t="n"/>
      <c r="B33" s="98" t="n"/>
      <c r="C33" s="99" t="n"/>
      <c r="D33" s="99" t="n"/>
      <c r="E33" s="99" t="n"/>
      <c r="F33" s="99" t="n"/>
    </row>
    <row r="34" ht="47.25" customHeight="1" s="82">
      <c r="A34" s="9" t="n"/>
      <c r="B34" s="100" t="inlineStr">
        <is>
          <t>Identity Management</t>
        </is>
      </c>
      <c r="C34" s="101" t="inlineStr">
        <is>
          <t>Test Name</t>
        </is>
      </c>
      <c r="D34" s="101" t="inlineStr">
        <is>
          <t>Objectives</t>
        </is>
      </c>
      <c r="E34" s="101" t="inlineStr">
        <is>
          <t>Status</t>
        </is>
      </c>
      <c r="F34" s="101" t="inlineStr">
        <is>
          <t>Notes</t>
        </is>
      </c>
    </row>
    <row r="35" ht="16.5" customHeight="1" s="82">
      <c r="A35" s="19" t="n"/>
      <c r="B35" s="34" t="inlineStr">
        <is>
          <t>WSTG-IDNT-01</t>
        </is>
      </c>
      <c r="C35" s="15">
        <f>HYPERLINK("https://owasp.org/www-project-web-security-testing-guide/latest/4-Web_Application_Security_Testing/03-Identity_Management/01-Role_Definitions", "Definiciones de roles")</f>
        <v/>
      </c>
      <c r="D35" s="16" t="inlineStr">
        <is>
          <t>N/A</t>
        </is>
      </c>
      <c r="E35" s="18" t="inlineStr">
        <is>
          <t>Not Started</t>
        </is>
      </c>
      <c r="F35" s="18" t="n"/>
    </row>
    <row r="36" ht="16.5" customHeight="1" s="82">
      <c r="A36" s="19" t="n"/>
      <c r="B36" s="34" t="inlineStr">
        <is>
          <t>WSTG-IDNT-02</t>
        </is>
      </c>
      <c r="C36" s="15">
        <f>HYPERLINK("https://owasp.org/www-project-web-security-testing-guide/latest/4-Web_Application_Security_Testing/03-Identity_Management/02-User_Registration_Process", "Proceso de registro de usuarios")</f>
        <v/>
      </c>
      <c r="D36" s="16" t="inlineStr">
        <is>
          <t>N/A</t>
        </is>
      </c>
      <c r="E36" s="18" t="inlineStr">
        <is>
          <t>Not Started</t>
        </is>
      </c>
      <c r="F36" s="18" t="n"/>
    </row>
    <row r="37" ht="16.5" customHeight="1" s="82">
      <c r="A37" s="19" t="n"/>
      <c r="B37" s="34" t="inlineStr">
        <is>
          <t>WSTG-IDNT-03</t>
        </is>
      </c>
      <c r="C37" s="15">
        <f>HYPERLINK("https://owasp.org/www-project-web-security-testing-guide/latest/4-Web_Application_Security_Testing/03-Identity_Management/03-Account_Provisioning_Process", "Proceso de aprovisionamiento de cuentas")</f>
        <v/>
      </c>
      <c r="D37" s="16" t="inlineStr">
        <is>
          <t>N/A</t>
        </is>
      </c>
      <c r="E37" s="18" t="inlineStr">
        <is>
          <t>Not Started</t>
        </is>
      </c>
      <c r="F37" s="18" t="n"/>
    </row>
    <row r="38" ht="33" customHeight="1" s="82">
      <c r="A38" s="19" t="n"/>
      <c r="B38" s="34" t="inlineStr">
        <is>
          <t>WSTG-IDNT-04</t>
        </is>
      </c>
      <c r="C38" s="15">
        <f>HYPERLINK("https://owasp.org/www-project-web-security-testing-guide/latest/4-Web_Application_Security_Testing/03-Identity_Management/04-Account_Enumeration_and_Guessable_User_Account", "Enumeración de cuentas y cuentas de usuario adivinables")</f>
        <v/>
      </c>
      <c r="D38" s="16" t="inlineStr">
        <is>
          <t>N/A</t>
        </is>
      </c>
      <c r="E38" s="18" t="inlineStr">
        <is>
          <t>Not Started</t>
        </is>
      </c>
      <c r="F38" s="18" t="n"/>
    </row>
    <row r="39" ht="33" customHeight="1" s="82">
      <c r="A39" s="19" t="n"/>
      <c r="B39" s="34" t="inlineStr">
        <is>
          <t>WSTG-IDNT-05</t>
        </is>
      </c>
      <c r="C39" s="15">
        <f>HYPERLINK("https://owasp.org/www-project-web-security-testing-guide/latest/4-Web_Application_Security_Testing/03-Identity_Management/05-Weak_or_Unenforced_Username_Policy", "Política de nombres de usuario débil o no aplicada")</f>
        <v/>
      </c>
      <c r="D39" s="16" t="inlineStr">
        <is>
          <t>N/A</t>
        </is>
      </c>
      <c r="E39" s="18" t="inlineStr">
        <is>
          <t>Not Started</t>
        </is>
      </c>
      <c r="F39" s="18" t="n"/>
    </row>
    <row r="40" ht="15" customHeight="1" s="82">
      <c r="A40" s="97" t="n"/>
      <c r="B40" s="98" t="n"/>
      <c r="C40" s="99" t="n"/>
      <c r="D40" s="99" t="n"/>
      <c r="E40" s="99" t="n"/>
      <c r="F40" s="99" t="n"/>
    </row>
    <row r="41" ht="47.25" customHeight="1" s="82">
      <c r="A41" s="9" t="n"/>
      <c r="B41" s="100" t="inlineStr">
        <is>
          <t>Authentication</t>
        </is>
      </c>
      <c r="C41" s="101" t="inlineStr">
        <is>
          <t>Test Name</t>
        </is>
      </c>
      <c r="D41" s="101" t="inlineStr">
        <is>
          <t>Objectives</t>
        </is>
      </c>
      <c r="E41" s="101" t="inlineStr">
        <is>
          <t>Status</t>
        </is>
      </c>
      <c r="F41" s="101" t="inlineStr">
        <is>
          <t>Notes</t>
        </is>
      </c>
    </row>
    <row r="42" ht="33" customHeight="1" s="82">
      <c r="A42" s="19" t="n"/>
      <c r="B42" s="34" t="inlineStr">
        <is>
          <t>WSTG-ATHN-01</t>
        </is>
      </c>
      <c r="C42" s="15">
        <f>HYPERLINK("https://owasp.org/www-project-web-security-testing-guide/latest/4-Web_Application_Security_Testing/04-Authentication/01-Credentials_Transported_over_an_Encrypted_Channel", "Prueba de credenciales transportadas a través de un canal cifrado")</f>
        <v/>
      </c>
      <c r="D42" s="16" t="inlineStr">
        <is>
          <t>N/A</t>
        </is>
      </c>
      <c r="E42" s="18" t="inlineStr">
        <is>
          <t>Not Started</t>
        </is>
      </c>
      <c r="F42" s="18" t="n"/>
    </row>
    <row r="43" ht="16.5" customHeight="1" s="82">
      <c r="A43" s="19" t="n"/>
      <c r="B43" s="34" t="inlineStr">
        <is>
          <t>WSTG-ATHN-02</t>
        </is>
      </c>
      <c r="C43" s="15">
        <f>HYPERLINK("https://owasp.org/www-project-web-security-testing-guide/latest/4-Web_Application_Security_Testing/04-Authentication/02-Default_Credentials", "Credenciales predeterminadas")</f>
        <v/>
      </c>
      <c r="D43" s="16" t="inlineStr">
        <is>
          <t>N/A</t>
        </is>
      </c>
      <c r="E43" s="18" t="inlineStr">
        <is>
          <t>Not Started</t>
        </is>
      </c>
      <c r="F43" s="18" t="n"/>
    </row>
    <row r="44" ht="16.5" customHeight="1" s="82">
      <c r="A44" s="19" t="n"/>
      <c r="B44" s="34" t="inlineStr">
        <is>
          <t>WSTG-ATHN-03</t>
        </is>
      </c>
      <c r="C44" s="15">
        <f>HYPERLINK("https://owasp.org/www-project-web-security-testing-guide/latest/4-Web_Application_Security_Testing/04-Authentication/03-Weak_Lock_Out_Mechanism", "Mecanismo de bloqueo débil")</f>
        <v/>
      </c>
      <c r="D44" s="16" t="inlineStr">
        <is>
          <t>N/A</t>
        </is>
      </c>
      <c r="E44" s="18" t="inlineStr">
        <is>
          <t>Not Started</t>
        </is>
      </c>
      <c r="F44" s="18" t="n"/>
    </row>
    <row r="45" ht="16.5" customHeight="1" s="82">
      <c r="A45" s="19" t="n"/>
      <c r="B45" s="34" t="inlineStr">
        <is>
          <t>WSTG-ATHN-04</t>
        </is>
      </c>
      <c r="C45" s="15">
        <f>HYPERLINK("https://owasp.org/www-project-web-security-testing-guide/latest/4-Web_Application_Security_Testing/04-Authentication/04-Bypassing_Authentication_Schema", "Omisión del esquema de autenticación")</f>
        <v/>
      </c>
      <c r="D45" s="16" t="inlineStr">
        <is>
          <t>N/A</t>
        </is>
      </c>
      <c r="E45" s="18" t="inlineStr">
        <is>
          <t>Not Started</t>
        </is>
      </c>
      <c r="F45" s="18" t="n"/>
    </row>
    <row r="46" ht="16.5" customHeight="1" s="82">
      <c r="A46" s="19" t="n"/>
      <c r="B46" s="34" t="inlineStr">
        <is>
          <t>WSTG-ATHN-05</t>
        </is>
      </c>
      <c r="C46" s="15">
        <f>HYPERLINK("https://owasp.org/www-project-web-security-testing-guide/latest/4-Web_Application_Security_Testing/04-Authentication/05-Vulnerable_Remember_Password", "Contraseña recordada vulnerable")</f>
        <v/>
      </c>
      <c r="D46" s="16" t="inlineStr">
        <is>
          <t>N/A</t>
        </is>
      </c>
      <c r="E46" s="18" t="inlineStr">
        <is>
          <t>Not Started</t>
        </is>
      </c>
      <c r="F46" s="18" t="n"/>
    </row>
    <row r="47" ht="33" customHeight="1" s="82">
      <c r="A47" s="19" t="n"/>
      <c r="B47" s="34" t="inlineStr">
        <is>
          <t>WSTG-ATHN-06</t>
        </is>
      </c>
      <c r="C47" s="15">
        <f>HYPERLINK("https://owasp.org/www-project-web-security-testing-guide/latest/4-Web_Application_Security_Testing/04-Authentication/06-Browser_Cache_Weaknesses", "Pruebas de debilidades en la caché del navegador")</f>
        <v/>
      </c>
      <c r="D47" s="16" t="inlineStr">
        <is>
          <t>N/A</t>
        </is>
      </c>
      <c r="E47" s="18" t="inlineStr">
        <is>
          <t>Not Started</t>
        </is>
      </c>
      <c r="F47" s="18" t="n"/>
    </row>
    <row r="48" ht="16.5" customHeight="1" s="82">
      <c r="A48" s="19" t="n"/>
      <c r="B48" s="34" t="inlineStr">
        <is>
          <t>WSTG-ATHN-07</t>
        </is>
      </c>
      <c r="C48" s="15">
        <f>HYPERLINK("https://owasp.org/www-project-web-security-testing-guide/latest/4-Web_Application_Security_Testing/04-Authentication/07-Weak_Authentication_Methods", "Métodos de autenticación débiles")</f>
        <v/>
      </c>
      <c r="D48" s="16" t="inlineStr">
        <is>
          <t>N/A</t>
        </is>
      </c>
      <c r="E48" s="18" t="inlineStr">
        <is>
          <t>Not Started</t>
        </is>
      </c>
      <c r="F48" s="18" t="n"/>
    </row>
    <row r="49" ht="16.5" customHeight="1" s="82">
      <c r="A49" s="19" t="n"/>
      <c r="B49" s="34" t="inlineStr">
        <is>
          <t>WSTG-ATHN-08</t>
        </is>
      </c>
      <c r="C49" s="15">
        <f>HYPERLINK("https://owasp.org/www-project-web-security-testing-guide/latest/4-Web_Application_Security_Testing/04-Authentication/08-Weak_Security_Question_Answer", "Preguntas de seguridad débiles")</f>
        <v/>
      </c>
      <c r="D49" s="16" t="inlineStr">
        <is>
          <t>N/A</t>
        </is>
      </c>
      <c r="E49" s="18" t="inlineStr">
        <is>
          <t>Not Started</t>
        </is>
      </c>
      <c r="F49" s="18" t="n"/>
    </row>
    <row r="50" ht="33" customHeight="1" s="82">
      <c r="A50" s="19" t="n"/>
      <c r="B50" s="34" t="inlineStr">
        <is>
          <t>WSTG-ATHN-09</t>
        </is>
      </c>
      <c r="C50" s="15">
        <f>HYPERLINK("https://owasp.org/www-project-web-security-testing-guide/latest/4-Web_Application_Security_Testing/04-Authentication/09-Weak_Password_Change_or_Reset_Functionalities", "Pruebas de funcionalidades débiles de cambio o restablecimiento de contraseña")</f>
        <v/>
      </c>
      <c r="D50" s="16" t="inlineStr">
        <is>
          <t>N/A</t>
        </is>
      </c>
      <c r="E50" s="18" t="inlineStr">
        <is>
          <t>Not Started</t>
        </is>
      </c>
      <c r="F50" s="18" t="n"/>
    </row>
    <row r="51" ht="33" customHeight="1" s="82">
      <c r="A51" s="19" t="n"/>
      <c r="B51" s="34" t="inlineStr">
        <is>
          <t>WSTG-ATHN-10</t>
        </is>
      </c>
      <c r="C51" s="15">
        <f>HYPERLINK("https://owasp.org/www-project-web-security-testing-guide/latest/4-Web_Application_Security_Testing/04-Authentication/10-Weaker_Authentication_in_Alternative_Channel", "Autenticación más débil en canales alternativos")</f>
        <v/>
      </c>
      <c r="D51" s="16" t="inlineStr">
        <is>
          <t>N/A</t>
        </is>
      </c>
      <c r="E51" s="18" t="inlineStr">
        <is>
          <t>Not Started</t>
        </is>
      </c>
      <c r="F51" s="18" t="n"/>
    </row>
    <row r="52" ht="16.5" customHeight="1" s="82">
      <c r="A52" s="19" t="n"/>
      <c r="B52" s="34" t="inlineStr">
        <is>
          <t>WSTG-ATHN-11</t>
        </is>
      </c>
      <c r="C52" s="15">
        <f>HYPERLINK("https://owasp.org/www-project-web-security-testing-guide/latest/4-Web_Application_Security_Testing/04-Authentication/11-Multi-Factor_Authentication", "Autenticación multifactor (MFA)")</f>
        <v/>
      </c>
      <c r="D52" s="16" t="inlineStr">
        <is>
          <t>N/A</t>
        </is>
      </c>
      <c r="E52" s="18" t="inlineStr">
        <is>
          <t>Not Started</t>
        </is>
      </c>
      <c r="F52" s="18" t="n"/>
    </row>
    <row r="53" ht="15" customHeight="1" s="82">
      <c r="A53" s="97" t="n"/>
      <c r="B53" s="98" t="n"/>
      <c r="C53" s="99" t="n"/>
      <c r="D53" s="99" t="n"/>
      <c r="E53" s="99" t="n"/>
      <c r="F53" s="99" t="n"/>
    </row>
    <row r="54" ht="47.25" customHeight="1" s="82">
      <c r="A54" s="9" t="n"/>
      <c r="B54" s="100" t="inlineStr">
        <is>
          <t>Authorization</t>
        </is>
      </c>
      <c r="C54" s="101" t="inlineStr">
        <is>
          <t>Test Name</t>
        </is>
      </c>
      <c r="D54" s="101" t="inlineStr">
        <is>
          <t>Objectives</t>
        </is>
      </c>
      <c r="E54" s="101" t="inlineStr">
        <is>
          <t>Status</t>
        </is>
      </c>
      <c r="F54" s="101" t="inlineStr">
        <is>
          <t>Notes</t>
        </is>
      </c>
    </row>
    <row r="55" ht="33" customHeight="1" s="82">
      <c r="A55" s="19" t="n"/>
      <c r="B55" s="34" t="inlineStr">
        <is>
          <t>WSTG-ATHZ-01</t>
        </is>
      </c>
      <c r="C55" s="15">
        <f>HYPERLINK("https://owasp.org/www-project-web-security-testing-guide/latest/4-Web_Application_Security_Testing/05-Authorization/01-Directory_Traversal_File_Include", "Traversal de directorios e inclusión de archivos")</f>
        <v/>
      </c>
      <c r="D55" s="16" t="inlineStr">
        <is>
          <t>N/A</t>
        </is>
      </c>
      <c r="E55" s="18" t="inlineStr">
        <is>
          <t>Not Started</t>
        </is>
      </c>
      <c r="F55" s="18" t="n"/>
    </row>
    <row r="56" ht="16.5" customHeight="1" s="82">
      <c r="A56" s="19" t="n"/>
      <c r="B56" s="34" t="inlineStr">
        <is>
          <t>WSTG-ATHZ-02</t>
        </is>
      </c>
      <c r="C56" s="15">
        <f>HYPERLINK("https://owasp.org/www-project-web-security-testing-guide/latest/4-Web_Application_Security_Testing/05-Authorization/02-Bypassing_Authorization_Schema", "Omisión del esquema de autorización")</f>
        <v/>
      </c>
      <c r="D56" s="16" t="inlineStr">
        <is>
          <t>N/A</t>
        </is>
      </c>
      <c r="E56" s="18" t="inlineStr">
        <is>
          <t>Not Started</t>
        </is>
      </c>
      <c r="F56" s="18" t="n"/>
    </row>
    <row r="57" ht="16.5" customHeight="1" s="82">
      <c r="A57" s="19" t="n"/>
      <c r="B57" s="34" t="inlineStr">
        <is>
          <t>WSTG-ATHZ-03</t>
        </is>
      </c>
      <c r="C57" s="15">
        <f>HYPERLINK("https://owasp.org/www-project-web-security-testing-guide/latest/4-Web_Application_Security_Testing/05-Authorization/03-Privilege_Escalation", "Escalada de privilegios")</f>
        <v/>
      </c>
      <c r="D57" s="16" t="inlineStr">
        <is>
          <t>N/A</t>
        </is>
      </c>
      <c r="E57" s="18" t="inlineStr">
        <is>
          <t>Not Started</t>
        </is>
      </c>
      <c r="F57" s="18" t="n"/>
    </row>
    <row r="58" ht="16.5" customHeight="1" s="82">
      <c r="A58" s="19" t="n"/>
      <c r="B58" s="34" t="inlineStr">
        <is>
          <t>WSTG-ATHZ-04</t>
        </is>
      </c>
      <c r="C58" s="15">
        <f>HYPERLINK("https://owasp.org/www-project-web-security-testing-guide/latest/4-Web_Application_Security_Testing/05-Authorization/04-Insecure_Direct_Object_References", "Referencias directas a objetos inseguras")</f>
        <v/>
      </c>
      <c r="D58" s="16" t="inlineStr">
        <is>
          <t>N/A</t>
        </is>
      </c>
      <c r="E58" s="18" t="inlineStr">
        <is>
          <t>Not Started</t>
        </is>
      </c>
      <c r="F58" s="18" t="n"/>
    </row>
    <row r="59" ht="16.5" customHeight="1" s="82">
      <c r="A59" s="19" t="n"/>
      <c r="B59" s="34" t="inlineStr">
        <is>
          <t>WSTG-ATHZ-05</t>
        </is>
      </c>
      <c r="C59" s="15">
        <f>HYPERLINK("https://owasp.org/www-project-web-security-testing-guide/latest/4-Web_Application_Security_Testing/05-Authorization/05-OAuth_Weaknesses", "Debilidades de OAuth")</f>
        <v/>
      </c>
      <c r="D59" s="16" t="inlineStr">
        <is>
          <t>N/A</t>
        </is>
      </c>
      <c r="E59" s="18" t="inlineStr">
        <is>
          <t>Not Started</t>
        </is>
      </c>
      <c r="F59" s="18" t="n"/>
    </row>
    <row r="60" ht="15" customHeight="1" s="82">
      <c r="A60" s="97" t="n"/>
      <c r="B60" s="98" t="n"/>
      <c r="C60" s="99" t="n"/>
      <c r="D60" s="99" t="n"/>
      <c r="E60" s="99" t="n"/>
      <c r="F60" s="99" t="n"/>
    </row>
    <row r="61" ht="47.25" customHeight="1" s="82">
      <c r="A61" s="9" t="n"/>
      <c r="B61" s="100" t="inlineStr">
        <is>
          <t>Session Management</t>
        </is>
      </c>
      <c r="C61" s="101" t="inlineStr">
        <is>
          <t>Test Name</t>
        </is>
      </c>
      <c r="D61" s="101" t="inlineStr">
        <is>
          <t>Objectives</t>
        </is>
      </c>
      <c r="E61" s="101" t="inlineStr">
        <is>
          <t>Status</t>
        </is>
      </c>
      <c r="F61" s="101" t="inlineStr">
        <is>
          <t>Notes</t>
        </is>
      </c>
    </row>
    <row r="62" ht="16.5" customHeight="1" s="82">
      <c r="A62" s="19" t="n"/>
      <c r="B62" s="34" t="inlineStr">
        <is>
          <t>WSTG-SESS-01</t>
        </is>
      </c>
      <c r="C62" s="15">
        <f>HYPERLINK("https://owasp.org/www-project-web-security-testing-guide/latest/4-Web_Application_Security_Testing/06-Session_Management/01-Session_Management_Schema", "Esquema de gestión de sesiones")</f>
        <v/>
      </c>
      <c r="D62" s="16" t="inlineStr">
        <is>
          <t>N/A</t>
        </is>
      </c>
      <c r="E62" s="18" t="inlineStr">
        <is>
          <t>Not Started</t>
        </is>
      </c>
      <c r="F62" s="18" t="n"/>
    </row>
    <row r="63" ht="16.5" customHeight="1" s="82">
      <c r="A63" s="19" t="n"/>
      <c r="B63" s="34" t="inlineStr">
        <is>
          <t>WSTG-SESS-02</t>
        </is>
      </c>
      <c r="C63" s="15">
        <f>HYPERLINK("https://owasp.org/www-project-web-security-testing-guide/latest/4-Web_Application_Security_Testing/06-Session_Management/02-Cookies_Attributes", "Atributos de las cookies")</f>
        <v/>
      </c>
      <c r="D63" s="16" t="inlineStr">
        <is>
          <t>N/A</t>
        </is>
      </c>
      <c r="E63" s="18" t="inlineStr">
        <is>
          <t>Not Started</t>
        </is>
      </c>
      <c r="F63" s="18" t="n"/>
    </row>
    <row r="64" ht="16.5" customHeight="1" s="82">
      <c r="A64" s="19" t="n"/>
      <c r="B64" s="34" t="inlineStr">
        <is>
          <t>WSTG-SESS-03</t>
        </is>
      </c>
      <c r="C64" s="15">
        <f>HYPERLINK("https://owasp.org/www-project-web-security-testing-guide/latest/4-Web_Application_Security_Testing/06-Session_Management/03-Session_Fixation", "Fijación de sesión")</f>
        <v/>
      </c>
      <c r="D64" s="16" t="inlineStr">
        <is>
          <t>N/A</t>
        </is>
      </c>
      <c r="E64" s="18" t="inlineStr">
        <is>
          <t>Not Started</t>
        </is>
      </c>
      <c r="F64" s="18" t="n"/>
    </row>
    <row r="65" ht="16.5" customHeight="1" s="82">
      <c r="A65" s="19" t="n"/>
      <c r="B65" s="34" t="inlineStr">
        <is>
          <t>WSTG-SESS-04</t>
        </is>
      </c>
      <c r="C65" s="15">
        <f>HYPERLINK("https://owasp.org/www-project-web-security-testing-guide/latest/4-Web_Application_Security_Testing/06-Session_Management/04-Exposed_Session_Variables", "Variables de sesión expuestas")</f>
        <v/>
      </c>
      <c r="D65" s="16" t="inlineStr">
        <is>
          <t>N/A</t>
        </is>
      </c>
      <c r="E65" s="18" t="inlineStr">
        <is>
          <t>Not Started</t>
        </is>
      </c>
      <c r="F65" s="18" t="n"/>
    </row>
    <row r="66" ht="33" customHeight="1" s="82">
      <c r="A66" s="19" t="n"/>
      <c r="B66" s="34" t="inlineStr">
        <is>
          <t>WSTG-SESS-05</t>
        </is>
      </c>
      <c r="C66" s="15">
        <f>HYPERLINK("https://owasp.org/www-project-web-security-testing-guide/latest/4-Web_Application_Security_Testing/06-Session_Management/05-Cross_Site_Request_Forgery", "Falsificación de solicitudes entre sitios")</f>
        <v/>
      </c>
      <c r="D66" s="16" t="inlineStr">
        <is>
          <t>N/A</t>
        </is>
      </c>
      <c r="E66" s="18" t="inlineStr">
        <is>
          <t>Not Started</t>
        </is>
      </c>
      <c r="F66" s="18" t="n"/>
    </row>
    <row r="67" ht="16.5" customHeight="1" s="82">
      <c r="A67" s="19" t="n"/>
      <c r="B67" s="34" t="inlineStr">
        <is>
          <t>WSTG-SESS-06</t>
        </is>
      </c>
      <c r="C67" s="15">
        <f>HYPERLINK("https://owasp.org/www-project-web-security-testing-guide/latest/4-Web_Application_Security_Testing/06-Session_Management/06-Logout_Functionality", "Funcionalidad de cierre de sesión")</f>
        <v/>
      </c>
      <c r="D67" s="16" t="inlineStr">
        <is>
          <t>N/A</t>
        </is>
      </c>
      <c r="E67" s="18" t="inlineStr">
        <is>
          <t>Not Started</t>
        </is>
      </c>
      <c r="F67" s="18" t="n"/>
    </row>
    <row r="68" ht="16.5" customHeight="1" s="82">
      <c r="A68" s="19" t="n"/>
      <c r="B68" s="34" t="inlineStr">
        <is>
          <t>WSTG-SESS-07</t>
        </is>
      </c>
      <c r="C68" s="15">
        <f>HYPERLINK("https://owasp.org/www-project-web-security-testing-guide/latest/4-Web_Application_Security_Testing/06-Session_Management/07-Session_Timeout", "Tiempo de espera de sesión")</f>
        <v/>
      </c>
      <c r="D68" s="16" t="inlineStr">
        <is>
          <t>N/A</t>
        </is>
      </c>
      <c r="E68" s="18" t="inlineStr">
        <is>
          <t>Not Started</t>
        </is>
      </c>
      <c r="F68" s="18" t="n"/>
    </row>
    <row r="69" ht="16.5" customHeight="1" s="82">
      <c r="A69" s="19" t="n"/>
      <c r="B69" s="34" t="inlineStr">
        <is>
          <t>WSTG-SESS-08</t>
        </is>
      </c>
      <c r="C69" s="15">
        <f>HYPERLINK("https://owasp.org/www-project-web-security-testing-guide/latest/4-Web_Application_Security_Testing/06-Session_Management/08-Session_Puzzling", "Confusión de sesión")</f>
        <v/>
      </c>
      <c r="D69" s="16" t="inlineStr">
        <is>
          <t>N/A</t>
        </is>
      </c>
      <c r="E69" s="18" t="inlineStr">
        <is>
          <t>Not Started</t>
        </is>
      </c>
      <c r="F69" s="18" t="n"/>
    </row>
    <row r="70" ht="16.5" customHeight="1" s="82">
      <c r="A70" s="19" t="n"/>
      <c r="B70" s="34" t="inlineStr">
        <is>
          <t>WSTG-SESS-09</t>
        </is>
      </c>
      <c r="C70" s="15">
        <f>HYPERLINK("https://owasp.org/www-project-web-security-testing-guide/latest/4-Web_Application_Security_Testing/06-Session_Management/09-Session_Hijacking", "Secuestro de sesión")</f>
        <v/>
      </c>
      <c r="D70" s="16" t="inlineStr">
        <is>
          <t>N/A</t>
        </is>
      </c>
      <c r="E70" s="18" t="inlineStr">
        <is>
          <t>Not Started</t>
        </is>
      </c>
      <c r="F70" s="18" t="n"/>
    </row>
    <row r="71" ht="16.5" customHeight="1" s="82">
      <c r="A71" s="19" t="n"/>
      <c r="B71" s="34" t="inlineStr">
        <is>
          <t>WSTG-SESS-10</t>
        </is>
      </c>
      <c r="C71" s="15">
        <f>HYPERLINK("https://owasp.org/www-project-web-security-testing-guide/latest/4-Web_Application_Security_Testing/06-Session_Management/10-JSON_Web_Tokens", "JSON Web Tokens")</f>
        <v/>
      </c>
      <c r="D71" s="16" t="inlineStr">
        <is>
          <t>N/A</t>
        </is>
      </c>
      <c r="E71" s="18" t="inlineStr">
        <is>
          <t>Not Started</t>
        </is>
      </c>
      <c r="F71" s="18" t="n"/>
    </row>
    <row r="72" ht="16.5" customHeight="1" s="82">
      <c r="A72" s="19" t="n"/>
      <c r="B72" s="34" t="inlineStr">
        <is>
          <t>WSTG-SESS-11</t>
        </is>
      </c>
      <c r="C72" s="15">
        <f>HYPERLINK("https://owasp.org/www-project-web-security-testing-guide/latest/4-Web_Application_Security_Testing/06-Session_Management/11-Concurrent_Sessions", "Sesiones concurrentes")</f>
        <v/>
      </c>
      <c r="D72" s="16" t="inlineStr">
        <is>
          <t>N/A</t>
        </is>
      </c>
      <c r="E72" s="18" t="inlineStr">
        <is>
          <t>Not Started</t>
        </is>
      </c>
      <c r="F72" s="18" t="n"/>
    </row>
    <row r="73" ht="15" customHeight="1" s="82">
      <c r="A73" s="97" t="n"/>
      <c r="B73" s="98" t="n"/>
      <c r="C73" s="99" t="n"/>
      <c r="D73" s="99" t="n"/>
      <c r="E73" s="99" t="n"/>
      <c r="F73" s="99" t="n"/>
    </row>
    <row r="74" ht="47.25" customHeight="1" s="82">
      <c r="A74" s="9" t="n"/>
      <c r="B74" s="100" t="inlineStr">
        <is>
          <t>Injection</t>
        </is>
      </c>
      <c r="C74" s="101" t="inlineStr">
        <is>
          <t>Test Name</t>
        </is>
      </c>
      <c r="D74" s="101" t="inlineStr">
        <is>
          <t>Objectives</t>
        </is>
      </c>
      <c r="E74" s="101" t="inlineStr">
        <is>
          <t>Status</t>
        </is>
      </c>
      <c r="F74" s="101" t="inlineStr">
        <is>
          <t>Notes</t>
        </is>
      </c>
    </row>
    <row r="75" ht="16.5" customHeight="1" s="82">
      <c r="A75" s="19" t="n"/>
      <c r="B75" s="34" t="inlineStr">
        <is>
          <t>WSTG-INJT-01</t>
        </is>
      </c>
      <c r="C75" s="15">
        <f>HYPERLINK("https://owasp.org/www-project-web-security-testing-guide/latest/4-Web_Application_Security_Testing/07-Injection/01-Reflected_Cross_Site_Scripting", "Scripting entre sitios reflejado")</f>
        <v/>
      </c>
      <c r="D75" s="16" t="inlineStr">
        <is>
          <t>N/A</t>
        </is>
      </c>
      <c r="E75" s="18" t="inlineStr">
        <is>
          <t>Not Started</t>
        </is>
      </c>
      <c r="F75" s="18" t="n"/>
    </row>
    <row r="76" ht="16.5" customHeight="1" s="82">
      <c r="A76" s="19" t="n"/>
      <c r="B76" s="34" t="inlineStr">
        <is>
          <t>WSTG-INJT-02</t>
        </is>
      </c>
      <c r="C76" s="15">
        <f>HYPERLINK("https://owasp.org/www-project-web-security-testing-guide/latest/4-Web_Application_Security_Testing/07-Injection/02-Stored_Cross_Site_Scripting", "XSS almacenado")</f>
        <v/>
      </c>
      <c r="D76" s="16" t="inlineStr">
        <is>
          <t>N/A</t>
        </is>
      </c>
      <c r="E76" s="18" t="inlineStr">
        <is>
          <t>Not Started</t>
        </is>
      </c>
      <c r="F76" s="18" t="n"/>
    </row>
    <row r="77" ht="16.5" customHeight="1" s="82">
      <c r="A77" s="19" t="n"/>
      <c r="B77" s="34" t="inlineStr">
        <is>
          <t>WSTG-INJT-03</t>
        </is>
      </c>
      <c r="C77" s="15">
        <f>HYPERLINK("https://owasp.org/www-project-web-security-testing-guide/latest/4-Web_Application_Security_Testing/07-Injection/03-HTTP_Verb_Tampering", "Manipulación de verbos HTTP")</f>
        <v/>
      </c>
      <c r="D77" s="16" t="inlineStr">
        <is>
          <t>N/A</t>
        </is>
      </c>
      <c r="E77" s="18" t="inlineStr">
        <is>
          <t>Not Started</t>
        </is>
      </c>
      <c r="F77" s="18" t="n"/>
    </row>
    <row r="78" ht="16.5" customHeight="1" s="82">
      <c r="A78" s="19" t="n"/>
      <c r="B78" s="34" t="inlineStr">
        <is>
          <t>WSTG-INJT-04</t>
        </is>
      </c>
      <c r="C78" s="15">
        <f>HYPERLINK("https://owasp.org/www-project-web-security-testing-guide/latest/4-Web_Application_Security_Testing/07-Injection/04-HTTP_Parameter_Pollution", "Contaminación de Parámetros HTTP")</f>
        <v/>
      </c>
      <c r="D78" s="16" t="inlineStr">
        <is>
          <t>N/A</t>
        </is>
      </c>
      <c r="E78" s="18" t="inlineStr">
        <is>
          <t>Not Started</t>
        </is>
      </c>
      <c r="F78" s="18" t="n"/>
    </row>
    <row r="79" ht="16.5" customHeight="1" s="82">
      <c r="A79" s="19" t="n"/>
      <c r="B79" s="34" t="inlineStr">
        <is>
          <t>WSTG-INJT-05</t>
        </is>
      </c>
      <c r="C79" s="15">
        <f>HYPERLINK("https://owasp.org/www-project-web-security-testing-guide/latest/4-Web_Application_Security_Testing/07-Injection/05-SQL_Injection", "Inyección SQL")</f>
        <v/>
      </c>
      <c r="D79" s="16" t="inlineStr">
        <is>
          <t>N/A</t>
        </is>
      </c>
      <c r="E79" s="18" t="inlineStr">
        <is>
          <t>Not Started</t>
        </is>
      </c>
      <c r="F79" s="18" t="n"/>
    </row>
    <row r="80" ht="16.5" customHeight="1" s="82">
      <c r="A80" s="19" t="n"/>
      <c r="B80" s="34" t="inlineStr">
        <is>
          <t>WSTG-INJT-06</t>
        </is>
      </c>
      <c r="C80" s="15">
        <f>HYPERLINK("https://owasp.org/www-project-web-security-testing-guide/latest/4-Web_Application_Security_Testing/07-Injection/06-LDAP_Injection", "Inyección LDAP")</f>
        <v/>
      </c>
      <c r="D80" s="16" t="inlineStr">
        <is>
          <t>N/A</t>
        </is>
      </c>
      <c r="E80" s="18" t="inlineStr">
        <is>
          <t>Not Started</t>
        </is>
      </c>
      <c r="F80" s="18" t="n"/>
    </row>
    <row r="81" ht="16.5" customHeight="1" s="82">
      <c r="A81" s="19" t="n"/>
      <c r="B81" s="34" t="inlineStr">
        <is>
          <t>WSTG-INJT-07</t>
        </is>
      </c>
      <c r="C81" s="15">
        <f>HYPERLINK("https://owasp.org/www-project-web-security-testing-guide/latest/4-Web_Application_Security_Testing/07-Injection/07-XML_Injection", "Inyección XML")</f>
        <v/>
      </c>
      <c r="D81" s="16" t="inlineStr">
        <is>
          <t>N/A</t>
        </is>
      </c>
      <c r="E81" s="18" t="inlineStr">
        <is>
          <t>Not Started</t>
        </is>
      </c>
      <c r="F81" s="18" t="n"/>
    </row>
    <row r="82" ht="16.5" customHeight="1" s="82">
      <c r="A82" s="19" t="n"/>
      <c r="B82" s="34" t="inlineStr">
        <is>
          <t>WSTG-INJT-08</t>
        </is>
      </c>
      <c r="C82" s="15">
        <f>HYPERLINK("https://owasp.org/www-project-web-security-testing-guide/latest/4-Web_Application_Security_Testing/07-Injection/08-SSI_Injection", "Inyección SSI")</f>
        <v/>
      </c>
      <c r="D82" s="16" t="inlineStr">
        <is>
          <t>N/A</t>
        </is>
      </c>
      <c r="E82" s="18" t="inlineStr">
        <is>
          <t>Not Started</t>
        </is>
      </c>
      <c r="F82" s="18" t="n"/>
    </row>
    <row r="83" ht="16.5" customHeight="1" s="82">
      <c r="A83" s="19" t="n"/>
      <c r="B83" s="34" t="inlineStr">
        <is>
          <t>WSTG-INJT-09</t>
        </is>
      </c>
      <c r="C83" s="15">
        <f>HYPERLINK("https://owasp.org/www-project-web-security-testing-guide/latest/4-Web_Application_Security_Testing/07-Injection/09-XPath_Injection", "Inyección XPath")</f>
        <v/>
      </c>
      <c r="D83" s="16" t="inlineStr">
        <is>
          <t>N/A</t>
        </is>
      </c>
      <c r="E83" s="18" t="inlineStr">
        <is>
          <t>Not Started</t>
        </is>
      </c>
      <c r="F83" s="18" t="n"/>
    </row>
    <row r="84" ht="16.5" customHeight="1" s="82">
      <c r="A84" s="19" t="n"/>
      <c r="B84" s="34" t="inlineStr">
        <is>
          <t>WSTG-INJT-10</t>
        </is>
      </c>
      <c r="C84" s="15">
        <f>HYPERLINK("https://owasp.org/www-project-web-security-testing-guide/latest/4-Web_Application_Security_Testing/07-Injection/10-IMAP_SMTP_Injection", "Inyección IMAP/SMTP")</f>
        <v/>
      </c>
      <c r="D84" s="16" t="inlineStr">
        <is>
          <t>N/A</t>
        </is>
      </c>
      <c r="E84" s="18" t="inlineStr">
        <is>
          <t>Not Started</t>
        </is>
      </c>
      <c r="F84" s="18" t="n"/>
    </row>
    <row r="85" ht="16.5" customHeight="1" s="82">
      <c r="A85" s="19" t="n"/>
      <c r="B85" s="34" t="inlineStr">
        <is>
          <t>WSTG-INJT-11</t>
        </is>
      </c>
      <c r="C85" s="15">
        <f>HYPERLINK("https://owasp.org/www-project-web-security-testing-guide/latest/4-Web_Application_Security_Testing/07-Injection/11-Code_Injection", "Inyección de código")</f>
        <v/>
      </c>
      <c r="D85" s="16" t="inlineStr">
        <is>
          <t>N/A</t>
        </is>
      </c>
      <c r="E85" s="18" t="inlineStr">
        <is>
          <t>Not Started</t>
        </is>
      </c>
      <c r="F85" s="18" t="n"/>
    </row>
    <row r="86" ht="16.5" customHeight="1" s="82">
      <c r="A86" s="19" t="n"/>
      <c r="B86" s="34" t="inlineStr">
        <is>
          <t>WSTG-INJT-12</t>
        </is>
      </c>
      <c r="C86" s="15">
        <f>HYPERLINK("https://owasp.org/www-project-web-security-testing-guide/latest/4-Web_Application_Security_Testing/07-Injection/12-Command_Injection", "Inyección de comandos")</f>
        <v/>
      </c>
      <c r="D86" s="16" t="inlineStr">
        <is>
          <t>N/A</t>
        </is>
      </c>
      <c r="E86" s="18" t="inlineStr">
        <is>
          <t>Not Started</t>
        </is>
      </c>
      <c r="F86" s="18" t="n"/>
    </row>
    <row r="87" ht="16.5" customHeight="1" s="82">
      <c r="A87" s="19" t="n"/>
      <c r="B87" s="34" t="inlineStr">
        <is>
          <t>WSTG-INJT-13</t>
        </is>
      </c>
      <c r="C87" s="15">
        <f>HYPERLINK("https://owasp.org/www-project-web-security-testing-guide/latest/4-Web_Application_Security_Testing/07-Injection/13-Buffer_Overflow", "Desbordamiento de búfer")</f>
        <v/>
      </c>
      <c r="D87" s="16" t="inlineStr">
        <is>
          <t>N/A</t>
        </is>
      </c>
      <c r="E87" s="18" t="inlineStr">
        <is>
          <t>Not Started</t>
        </is>
      </c>
      <c r="F87" s="18" t="n"/>
    </row>
    <row r="88" ht="16.5" customHeight="1" s="82">
      <c r="A88" s="19" t="n"/>
      <c r="B88" s="34" t="inlineStr">
        <is>
          <t>WSTG-INJT-13</t>
        </is>
      </c>
      <c r="C88" s="15">
        <f>HYPERLINK("https://owasp.org/www-project-web-security-testing-guide/latest/4-Web_Application_Security_Testing/07-Injection/13-Format_String_Injection", "Inyección de cadena de formato")</f>
        <v/>
      </c>
      <c r="D88" s="16" t="inlineStr">
        <is>
          <t>N/A</t>
        </is>
      </c>
      <c r="E88" s="18" t="inlineStr">
        <is>
          <t>Not Started</t>
        </is>
      </c>
      <c r="F88" s="18" t="n"/>
    </row>
    <row r="89" ht="16.5" customHeight="1" s="82">
      <c r="A89" s="19" t="n"/>
      <c r="B89" s="34" t="inlineStr">
        <is>
          <t>WSTG-INJT-14</t>
        </is>
      </c>
      <c r="C89" s="15">
        <f>HYPERLINK("https://owasp.org/www-project-web-security-testing-guide/latest/4-Web_Application_Security_Testing/07-Injection/14-Incubated_Vulnerability", "Vulnerabilidad incubada")</f>
        <v/>
      </c>
      <c r="D89" s="16" t="inlineStr">
        <is>
          <t>N/A</t>
        </is>
      </c>
      <c r="E89" s="18" t="inlineStr">
        <is>
          <t>Not Started</t>
        </is>
      </c>
      <c r="F89" s="18" t="n"/>
    </row>
    <row r="90" ht="16.5" customHeight="1" s="82">
      <c r="A90" s="19" t="n"/>
      <c r="B90" s="34" t="inlineStr">
        <is>
          <t>WSTG-INJT-15</t>
        </is>
      </c>
      <c r="C90" s="15">
        <f>HYPERLINK("https://owasp.org/www-project-web-security-testing-guide/latest/4-Web_Application_Security_Testing/07-Injection/15-HTTP_Response_Splitting", "División de respuestas HTTP")</f>
        <v/>
      </c>
      <c r="D90" s="16" t="inlineStr">
        <is>
          <t>N/A</t>
        </is>
      </c>
      <c r="E90" s="18" t="inlineStr">
        <is>
          <t>Not Started</t>
        </is>
      </c>
      <c r="F90" s="18" t="n"/>
    </row>
    <row r="91" ht="16.5" customHeight="1" s="82">
      <c r="A91" s="19" t="n"/>
      <c r="B91" s="34" t="inlineStr">
        <is>
          <t>WSTG-INJT-16</t>
        </is>
      </c>
      <c r="C91" s="15">
        <f>HYPERLINK("https://owasp.org/www-project-web-security-testing-guide/latest/4-Web_Application_Security_Testing/07-Injection/16-HTTP_Request_Smuggling", "Contrabando de solicitudes HTTP")</f>
        <v/>
      </c>
      <c r="D91" s="16" t="inlineStr">
        <is>
          <t>N/A</t>
        </is>
      </c>
      <c r="E91" s="18" t="inlineStr">
        <is>
          <t>Not Started</t>
        </is>
      </c>
      <c r="F91" s="18" t="n"/>
    </row>
    <row r="92" ht="16.5" customHeight="1" s="82">
      <c r="A92" s="19" t="n"/>
      <c r="B92" s="34" t="inlineStr">
        <is>
          <t>WSTG-INJT-17</t>
        </is>
      </c>
      <c r="C92" s="15">
        <f>HYPERLINK("https://owasp.org/www-project-web-security-testing-guide/latest/4-Web_Application_Security_Testing/07-Injection/17-Host_Header_Injection", "Inyección de cabecera Host")</f>
        <v/>
      </c>
      <c r="D92" s="16" t="inlineStr">
        <is>
          <t>N/A</t>
        </is>
      </c>
      <c r="E92" s="18" t="inlineStr">
        <is>
          <t>Not Started</t>
        </is>
      </c>
      <c r="F92" s="18" t="n"/>
    </row>
    <row r="93" ht="33" customHeight="1" s="82">
      <c r="A93" s="19" t="n"/>
      <c r="B93" s="34" t="inlineStr">
        <is>
          <t>WSTG-INJT-18</t>
        </is>
      </c>
      <c r="C93" s="15">
        <f>HYPERLINK("https://owasp.org/www-project-web-security-testing-guide/latest/4-Web_Application_Security_Testing/07-Injection/18-Server-side_Template_Injection", "Inyección de plantillas del lado del servidor")</f>
        <v/>
      </c>
      <c r="D93" s="16" t="inlineStr">
        <is>
          <t>N/A</t>
        </is>
      </c>
      <c r="E93" s="18" t="inlineStr">
        <is>
          <t>Not Started</t>
        </is>
      </c>
      <c r="F93" s="18" t="n"/>
    </row>
    <row r="94" ht="33" customHeight="1" s="82">
      <c r="A94" s="19" t="n"/>
      <c r="B94" s="34" t="inlineStr">
        <is>
          <t>WSTG-INJT-19</t>
        </is>
      </c>
      <c r="C94" s="15">
        <f>HYPERLINK("https://owasp.org/www-project-web-security-testing-guide/latest/4-Web_Application_Security_Testing/07-Injection/19-Server-Side_Request_Forgery", "Falsificación de solicitudes del lado del servidor")</f>
        <v/>
      </c>
      <c r="D94" s="16" t="inlineStr">
        <is>
          <t>N/A</t>
        </is>
      </c>
      <c r="E94" s="18" t="inlineStr">
        <is>
          <t>Not Started</t>
        </is>
      </c>
      <c r="F94" s="18" t="n"/>
    </row>
    <row r="95" ht="16.5" customHeight="1" s="82">
      <c r="A95" s="19" t="n"/>
      <c r="B95" s="34" t="inlineStr">
        <is>
          <t>WSTG-INJT-20</t>
        </is>
      </c>
      <c r="C95" s="15">
        <f>HYPERLINK("https://owasp.org/www-project-web-security-testing-guide/latest/4-Web_Application_Security_Testing/07-Injection/20-Mass_Assignment", "Asignación masiva")</f>
        <v/>
      </c>
      <c r="D95" s="16" t="inlineStr">
        <is>
          <t>N/A</t>
        </is>
      </c>
      <c r="E95" s="18" t="inlineStr">
        <is>
          <t>Not Started</t>
        </is>
      </c>
      <c r="F95" s="18" t="n"/>
    </row>
    <row r="96" ht="16.5" customHeight="1" s="82">
      <c r="A96" s="19" t="n"/>
      <c r="B96" s="34" t="inlineStr">
        <is>
          <t>WSTG-INJT-21</t>
        </is>
      </c>
      <c r="C96" s="15">
        <f>HYPERLINK("https://owasp.org/www-project-web-security-testing-guide/latest/4-Web_Application_Security_Testing/07-Injection/21-CSV_Injection", "Inyección CSV")</f>
        <v/>
      </c>
      <c r="D96" s="16" t="inlineStr">
        <is>
          <t>N/A</t>
        </is>
      </c>
      <c r="E96" s="18" t="inlineStr">
        <is>
          <t>Not Started</t>
        </is>
      </c>
      <c r="F96" s="18" t="n"/>
    </row>
    <row r="97" ht="16.5" customHeight="1" s="82">
      <c r="A97" s="19" t="n"/>
      <c r="B97" s="34" t="inlineStr">
        <is>
          <t>WSTG-INJT-22</t>
        </is>
      </c>
      <c r="C97" s="15">
        <f>HYPERLINK("https://owasp.org/www-project-web-security-testing-guide/latest/4-Web_Application_Security_Testing/07-Injection/22-Prototype_Pollution", "Contaminación de prototipos")</f>
        <v/>
      </c>
      <c r="D97" s="16" t="inlineStr">
        <is>
          <t>N/A</t>
        </is>
      </c>
      <c r="E97" s="18" t="inlineStr">
        <is>
          <t>Not Started</t>
        </is>
      </c>
      <c r="F97" s="18" t="n"/>
    </row>
    <row r="98" ht="16.5" customHeight="1" s="82">
      <c r="A98" s="19" t="n"/>
      <c r="B98" s="34" t="inlineStr">
        <is>
          <t>WSTG-INJT-23</t>
        </is>
      </c>
      <c r="C98" s="15">
        <f>HYPERLINK("https://owasp.org/www-project-web-security-testing-guide/latest/4-Web_Application_Security_Testing/07-Injection/23-Insecure_Deserialization", "Deserialización insegura")</f>
        <v/>
      </c>
      <c r="D98" s="16" t="inlineStr">
        <is>
          <t>N/A</t>
        </is>
      </c>
      <c r="E98" s="18" t="inlineStr">
        <is>
          <t>Not Started</t>
        </is>
      </c>
      <c r="F98" s="18" t="n"/>
    </row>
    <row r="99" ht="15" customHeight="1" s="82">
      <c r="A99" s="97" t="n"/>
      <c r="B99" s="98" t="n"/>
      <c r="C99" s="99" t="n"/>
      <c r="D99" s="99" t="n"/>
      <c r="E99" s="99" t="n"/>
      <c r="F99" s="99" t="n"/>
    </row>
    <row r="100" ht="47.25" customHeight="1" s="82">
      <c r="A100" s="9" t="n"/>
      <c r="B100" s="100" t="inlineStr">
        <is>
          <t>Error Handling</t>
        </is>
      </c>
      <c r="C100" s="101" t="inlineStr">
        <is>
          <t>Test Name</t>
        </is>
      </c>
      <c r="D100" s="101" t="inlineStr">
        <is>
          <t>Objectives</t>
        </is>
      </c>
      <c r="E100" s="101" t="inlineStr">
        <is>
          <t>Status</t>
        </is>
      </c>
      <c r="F100" s="101" t="inlineStr">
        <is>
          <t>Notes</t>
        </is>
      </c>
    </row>
    <row r="101" ht="16.5" customHeight="1" s="82">
      <c r="A101" s="19" t="n"/>
      <c r="B101" s="34" t="inlineStr">
        <is>
          <t>WSTG-ERRH-01</t>
        </is>
      </c>
      <c r="C101" s="15">
        <f>HYPERLINK("https://owasp.org/www-project-web-security-testing-guide/latest/4-Web_Application_Security_Testing/08-Error_Handling/01-Improper_Error_Handling", "Manejo inadecuado de errores")</f>
        <v/>
      </c>
      <c r="D101" s="16" t="inlineStr">
        <is>
          <t>N/A</t>
        </is>
      </c>
      <c r="E101" s="18" t="inlineStr">
        <is>
          <t>Not Started</t>
        </is>
      </c>
      <c r="F101" s="18" t="n"/>
    </row>
    <row r="102" ht="16.5" customHeight="1" s="82">
      <c r="A102" s="19" t="n"/>
      <c r="B102" s="34" t="inlineStr">
        <is>
          <t>WSTG-ERRH-02</t>
        </is>
      </c>
      <c r="C102" s="15">
        <f>HYPERLINK("https://owasp.org/www-project-web-security-testing-guide/latest/4-Web_Application_Security_Testing/08-Error_Handling/02-Stack_Traces", "Trazas de pila")</f>
        <v/>
      </c>
      <c r="D102" s="16" t="inlineStr">
        <is>
          <t>N/A</t>
        </is>
      </c>
      <c r="E102" s="18" t="inlineStr">
        <is>
          <t>Not Started</t>
        </is>
      </c>
      <c r="F102" s="18" t="n"/>
    </row>
    <row r="103" ht="15" customHeight="1" s="82">
      <c r="A103" s="97" t="n"/>
      <c r="B103" s="98" t="n"/>
      <c r="C103" s="99" t="n"/>
      <c r="D103" s="99" t="n"/>
      <c r="E103" s="99" t="n"/>
      <c r="F103" s="99" t="n"/>
    </row>
    <row r="104" ht="47.25" customHeight="1" s="82">
      <c r="A104" s="9" t="n"/>
      <c r="B104" s="100" t="inlineStr">
        <is>
          <t>Weak Cryptography</t>
        </is>
      </c>
      <c r="C104" s="101" t="inlineStr">
        <is>
          <t>Test Name</t>
        </is>
      </c>
      <c r="D104" s="101" t="inlineStr">
        <is>
          <t>Objectives</t>
        </is>
      </c>
      <c r="E104" s="101" t="inlineStr">
        <is>
          <t>Status</t>
        </is>
      </c>
      <c r="F104" s="101" t="inlineStr">
        <is>
          <t>Notes</t>
        </is>
      </c>
    </row>
    <row r="105" ht="16.5" customHeight="1" s="82">
      <c r="A105" s="19" t="n"/>
      <c r="B105" s="34" t="inlineStr">
        <is>
          <t>WSTG-CRYP-01</t>
        </is>
      </c>
      <c r="C105" s="15">
        <f>HYPERLINK("https://owasp.org/www-project-web-security-testing-guide/latest/4-Web_Application_Security_Testing/09-Weak_Cryptography/01-Weak_Transport_Layer_Security", "Seguridad débil de la capa de transporte")</f>
        <v/>
      </c>
      <c r="D105" s="16" t="inlineStr">
        <is>
          <t>N/A</t>
        </is>
      </c>
      <c r="E105" s="18" t="inlineStr">
        <is>
          <t>Not Started</t>
        </is>
      </c>
      <c r="F105" s="18" t="n"/>
    </row>
    <row r="106" ht="16.5" customHeight="1" s="82">
      <c r="A106" s="19" t="n"/>
      <c r="B106" s="34" t="inlineStr">
        <is>
          <t>WSTG-CRYP-02</t>
        </is>
      </c>
      <c r="C106" s="15">
        <f>HYPERLINK("https://owasp.org/www-project-web-security-testing-guide/latest/4-Web_Application_Security_Testing/09-Weak_Cryptography/02-Padding_Oracle", "Oráculo de padding")</f>
        <v/>
      </c>
      <c r="D106" s="16" t="inlineStr">
        <is>
          <t>N/A</t>
        </is>
      </c>
      <c r="E106" s="18" t="inlineStr">
        <is>
          <t>Not Started</t>
        </is>
      </c>
      <c r="F106" s="18" t="n"/>
    </row>
    <row r="107" ht="33" customHeight="1" s="82">
      <c r="A107" s="19" t="n"/>
      <c r="B107" s="34" t="inlineStr">
        <is>
          <t>WSTG-CRYP-03</t>
        </is>
      </c>
      <c r="C107" s="15">
        <f>HYPERLINK("https://owasp.org/www-project-web-security-testing-guide/latest/4-Web_Application_Security_Testing/09-Weak_Cryptography/03-Sensitive_Information_Sent_via_Unencrypted_Channels", "Información sensible enviada a través de canales no cifrados")</f>
        <v/>
      </c>
      <c r="D107" s="16" t="inlineStr">
        <is>
          <t>N/A</t>
        </is>
      </c>
      <c r="E107" s="18" t="inlineStr">
        <is>
          <t>Not Started</t>
        </is>
      </c>
      <c r="F107" s="18" t="n"/>
    </row>
    <row r="108" ht="16.5" customHeight="1" s="82">
      <c r="A108" s="19" t="n"/>
      <c r="B108" s="34" t="inlineStr">
        <is>
          <t>WSTG-CRYP-04</t>
        </is>
      </c>
      <c r="C108" s="15">
        <f>HYPERLINK("https://owasp.org/www-project-web-security-testing-guide/latest/4-Web_Application_Security_Testing/09-Weak_Cryptography/04-Weak_Cryptographic_Primitives", "Primitivas criptográficas débiles")</f>
        <v/>
      </c>
      <c r="D108" s="16" t="inlineStr">
        <is>
          <t>N/A</t>
        </is>
      </c>
      <c r="E108" s="18" t="inlineStr">
        <is>
          <t>Not Started</t>
        </is>
      </c>
      <c r="F108" s="18" t="n"/>
    </row>
    <row r="109" ht="15" customHeight="1" s="82">
      <c r="A109" s="97" t="n"/>
      <c r="B109" s="98" t="n"/>
      <c r="C109" s="99" t="n"/>
      <c r="D109" s="99" t="n"/>
      <c r="E109" s="99" t="n"/>
      <c r="F109" s="99" t="n"/>
    </row>
    <row r="110" ht="47.25" customHeight="1" s="82">
      <c r="A110" s="9" t="n"/>
      <c r="B110" s="100" t="inlineStr">
        <is>
          <t>Business Logic</t>
        </is>
      </c>
      <c r="C110" s="101" t="inlineStr">
        <is>
          <t>Test Name</t>
        </is>
      </c>
      <c r="D110" s="101" t="inlineStr">
        <is>
          <t>Objectives</t>
        </is>
      </c>
      <c r="E110" s="101" t="inlineStr">
        <is>
          <t>Status</t>
        </is>
      </c>
      <c r="F110" s="101" t="inlineStr">
        <is>
          <t>Notes</t>
        </is>
      </c>
    </row>
    <row r="111" ht="16.5" customHeight="1" s="82">
      <c r="A111" s="19" t="n"/>
      <c r="B111" s="34" t="inlineStr">
        <is>
          <t>WSTG-BUSL-01</t>
        </is>
      </c>
      <c r="C111" s="15">
        <f>HYPERLINK("https://owasp.org/www-project-web-security-testing-guide/latest/4-Web_Application_Security_Testing/10-Business_Logic/01-Business_Logic_Data_Validation", "Validación de datos de lógica de negocio")</f>
        <v/>
      </c>
      <c r="D111" s="16" t="inlineStr">
        <is>
          <t>N/A</t>
        </is>
      </c>
      <c r="E111" s="18" t="inlineStr">
        <is>
          <t>Not Started</t>
        </is>
      </c>
      <c r="F111" s="18" t="n"/>
    </row>
    <row r="112" ht="16.5" customHeight="1" s="82">
      <c r="A112" s="19" t="n"/>
      <c r="B112" s="34" t="inlineStr">
        <is>
          <t>WSTG-BUSL-02</t>
        </is>
      </c>
      <c r="C112" s="15">
        <f>HYPERLINK("https://owasp.org/www-project-web-security-testing-guide/latest/4-Web_Application_Security_Testing/10-Business_Logic/02-Ability_to_Forge_Requests", "Capacidad para falsificar solicitudes")</f>
        <v/>
      </c>
      <c r="D112" s="16" t="inlineStr">
        <is>
          <t>N/A</t>
        </is>
      </c>
      <c r="E112" s="18" t="inlineStr">
        <is>
          <t>Not Started</t>
        </is>
      </c>
      <c r="F112" s="18" t="n"/>
    </row>
    <row r="113" ht="16.5" customHeight="1" s="82">
      <c r="A113" s="19" t="n"/>
      <c r="B113" s="34" t="inlineStr">
        <is>
          <t>WSTG-BUSL-03</t>
        </is>
      </c>
      <c r="C113" s="15">
        <f>HYPERLINK("https://owasp.org/www-project-web-security-testing-guide/latest/4-Web_Application_Security_Testing/10-Business_Logic/03-Integrity_Checks", "Comprobaciones de integridad")</f>
        <v/>
      </c>
      <c r="D113" s="16" t="inlineStr">
        <is>
          <t>N/A</t>
        </is>
      </c>
      <c r="E113" s="18" t="inlineStr">
        <is>
          <t>Not Started</t>
        </is>
      </c>
      <c r="F113" s="18" t="n"/>
    </row>
    <row r="114" ht="16.5" customHeight="1" s="82">
      <c r="A114" s="19" t="n"/>
      <c r="B114" s="34" t="inlineStr">
        <is>
          <t>WSTG-BUSL-04</t>
        </is>
      </c>
      <c r="C114" s="15">
        <f>HYPERLINK("https://owasp.org/www-project-web-security-testing-guide/latest/4-Web_Application_Security_Testing/10-Business_Logic/04-Process_Timing", "Temporización de procesos")</f>
        <v/>
      </c>
      <c r="D114" s="16" t="inlineStr">
        <is>
          <t>N/A</t>
        </is>
      </c>
      <c r="E114" s="18" t="inlineStr">
        <is>
          <t>Not Started</t>
        </is>
      </c>
      <c r="F114" s="18" t="n"/>
    </row>
    <row r="115" ht="33" customHeight="1" s="82">
      <c r="A115" s="19" t="n"/>
      <c r="B115" s="34" t="inlineStr">
        <is>
          <t>WSTG-BUSL-05</t>
        </is>
      </c>
      <c r="C115" s="15">
        <f>HYPERLINK("https://owasp.org/www-project-web-security-testing-guide/latest/4-Web_Application_Security_Testing/10-Business_Logic/05-Number_of_Times_a_Function_Can_Be_Used_Limits", "Límites en el número de veces que se puede usar una función")</f>
        <v/>
      </c>
      <c r="D115" s="16" t="inlineStr">
        <is>
          <t>N/A</t>
        </is>
      </c>
      <c r="E115" s="18" t="inlineStr">
        <is>
          <t>Not Started</t>
        </is>
      </c>
      <c r="F115" s="18" t="n"/>
    </row>
    <row r="116" ht="16.5" customHeight="1" s="82">
      <c r="A116" s="19" t="n"/>
      <c r="B116" s="34" t="inlineStr">
        <is>
          <t>WSTG-BUSL-06</t>
        </is>
      </c>
      <c r="C116" s="15">
        <f>HYPERLINK("https://owasp.org/www-project-web-security-testing-guide/latest/4-Web_Application_Security_Testing/10-Business_Logic/06-Circumvention_of_Work_Flows", "Evasión de flujos de trabajo")</f>
        <v/>
      </c>
      <c r="D116" s="16" t="inlineStr">
        <is>
          <t>N/A</t>
        </is>
      </c>
      <c r="E116" s="18" t="inlineStr">
        <is>
          <t>Not Started</t>
        </is>
      </c>
      <c r="F116" s="18" t="n"/>
    </row>
    <row r="117" ht="33" customHeight="1" s="82">
      <c r="A117" s="19" t="n"/>
      <c r="B117" s="34" t="inlineStr">
        <is>
          <t>WSTG-BUSL-07</t>
        </is>
      </c>
      <c r="C117" s="15">
        <f>HYPERLINK("https://owasp.org/www-project-web-security-testing-guide/latest/4-Web_Application_Security_Testing/10-Business_Logic/07-Defenses_Against_Application_Misuse", "Defensas contra el uso indebido de aplicaciones")</f>
        <v/>
      </c>
      <c r="D117" s="16" t="inlineStr">
        <is>
          <t>N/A</t>
        </is>
      </c>
      <c r="E117" s="18" t="inlineStr">
        <is>
          <t>Not Started</t>
        </is>
      </c>
      <c r="F117" s="18" t="n"/>
    </row>
    <row r="118" ht="16.5" customHeight="1" s="82">
      <c r="A118" s="19" t="n"/>
      <c r="B118" s="34" t="inlineStr">
        <is>
          <t>WSTG-BUSL-08</t>
        </is>
      </c>
      <c r="C118" s="15">
        <f>HYPERLINK("https://owasp.org/www-project-web-security-testing-guide/latest/4-Web_Application_Security_Testing/10-Business_Logic/08-Upload_of_Unexpected_File_Types", "Carga de tipos de archivo inesperados")</f>
        <v/>
      </c>
      <c r="D118" s="16" t="inlineStr">
        <is>
          <t>N/A</t>
        </is>
      </c>
      <c r="E118" s="18" t="inlineStr">
        <is>
          <t>Not Started</t>
        </is>
      </c>
      <c r="F118" s="18" t="n"/>
    </row>
    <row r="119" ht="16.5" customHeight="1" s="82">
      <c r="A119" s="19" t="n"/>
      <c r="B119" s="34" t="inlineStr">
        <is>
          <t>WSTG-BUSL-09</t>
        </is>
      </c>
      <c r="C119" s="15">
        <f>HYPERLINK("https://owasp.org/www-project-web-security-testing-guide/latest/4-Web_Application_Security_Testing/10-Business_Logic/09-Upload_of_Malicious_Files", "Subida de archivos maliciosos")</f>
        <v/>
      </c>
      <c r="D119" s="16" t="inlineStr">
        <is>
          <t>N/A</t>
        </is>
      </c>
      <c r="E119" s="18" t="inlineStr">
        <is>
          <t>Not Started</t>
        </is>
      </c>
      <c r="F119" s="18" t="n"/>
    </row>
    <row r="120" ht="16.5" customHeight="1" s="82">
      <c r="A120" s="19" t="n"/>
      <c r="B120" s="34" t="inlineStr">
        <is>
          <t>WSTG-BUSL-10</t>
        </is>
      </c>
      <c r="C120" s="15">
        <f>HYPERLINK("https://owasp.org/www-project-web-security-testing-guide/latest/4-Web_Application_Security_Testing/10-Business_Logic/10-Payment_Functionality", "Funcionalidad de Pago")</f>
        <v/>
      </c>
      <c r="D120" s="16" t="inlineStr">
        <is>
          <t>N/A</t>
        </is>
      </c>
      <c r="E120" s="18" t="inlineStr">
        <is>
          <t>Not Started</t>
        </is>
      </c>
      <c r="F120" s="18" t="n"/>
    </row>
    <row r="121" ht="15" customHeight="1" s="82">
      <c r="A121" s="97" t="n"/>
      <c r="B121" s="98" t="n"/>
      <c r="C121" s="99" t="n"/>
      <c r="D121" s="99" t="n"/>
      <c r="E121" s="99" t="n"/>
      <c r="F121" s="99" t="n"/>
    </row>
    <row r="122" ht="47.25" customHeight="1" s="82">
      <c r="A122" s="9" t="n"/>
      <c r="B122" s="100" t="inlineStr">
        <is>
          <t>Client-side</t>
        </is>
      </c>
      <c r="C122" s="101" t="inlineStr">
        <is>
          <t>Test Name</t>
        </is>
      </c>
      <c r="D122" s="101" t="inlineStr">
        <is>
          <t>Objectives</t>
        </is>
      </c>
      <c r="E122" s="101" t="inlineStr">
        <is>
          <t>Status</t>
        </is>
      </c>
      <c r="F122" s="101" t="inlineStr">
        <is>
          <t>Notes</t>
        </is>
      </c>
    </row>
    <row r="123" ht="16.5" customHeight="1" s="82">
      <c r="A123" s="19" t="n"/>
      <c r="B123" s="34" t="inlineStr">
        <is>
          <t>WSTG-CLNT-01</t>
        </is>
      </c>
      <c r="C123" s="15">
        <f>HYPERLINK("https://owasp.org/www-project-web-security-testing-guide/latest/4-Web_Application_Security_Testing/11-Client-side/01-DOM-based_Cross_Site_Scripting", "Cross-site scripting basado en DOM")</f>
        <v/>
      </c>
      <c r="D123" s="16" t="inlineStr">
        <is>
          <t>N/A</t>
        </is>
      </c>
      <c r="E123" s="18" t="inlineStr">
        <is>
          <t>Not Started</t>
        </is>
      </c>
      <c r="F123" s="18" t="n"/>
    </row>
    <row r="124" ht="16.5" customHeight="1" s="82">
      <c r="A124" s="19" t="n"/>
      <c r="B124" s="34" t="inlineStr">
        <is>
          <t>WSTG-CLNT-02</t>
        </is>
      </c>
      <c r="C124" s="15">
        <f>HYPERLINK("https://owasp.org/www-project-web-security-testing-guide/latest/4-Web_Application_Security_Testing/11-Client-side/02-JavaScript_Execution", "Ejecución de JavaScript")</f>
        <v/>
      </c>
      <c r="D124" s="16" t="inlineStr">
        <is>
          <t>N/A</t>
        </is>
      </c>
      <c r="E124" s="18" t="inlineStr">
        <is>
          <t>Not Started</t>
        </is>
      </c>
      <c r="F124" s="18" t="n"/>
    </row>
    <row r="125" ht="16.5" customHeight="1" s="82">
      <c r="A125" s="19" t="n"/>
      <c r="B125" s="34" t="inlineStr">
        <is>
          <t>WSTG-CLNT-03</t>
        </is>
      </c>
      <c r="C125" s="15">
        <f>HYPERLINK("https://owasp.org/www-project-web-security-testing-guide/latest/4-Web_Application_Security_Testing/11-Client-side/03-HTML_Injection", "Inyección HTML")</f>
        <v/>
      </c>
      <c r="D125" s="16" t="inlineStr">
        <is>
          <t>N/A</t>
        </is>
      </c>
      <c r="E125" s="18" t="inlineStr">
        <is>
          <t>Not Started</t>
        </is>
      </c>
      <c r="F125" s="18" t="n"/>
    </row>
    <row r="126" ht="16.5" customHeight="1" s="82">
      <c r="A126" s="19" t="n"/>
      <c r="B126" s="34" t="inlineStr">
        <is>
          <t>WSTG-CLNT-04</t>
        </is>
      </c>
      <c r="C126" s="15">
        <f>HYPERLINK("https://owasp.org/www-project-web-security-testing-guide/latest/4-Web_Application_Security_Testing/11-Client-side/04-Client-side_URL_Redirect", "Redirección de URL del lado del cliente")</f>
        <v/>
      </c>
      <c r="D126" s="16" t="inlineStr">
        <is>
          <t>N/A</t>
        </is>
      </c>
      <c r="E126" s="18" t="inlineStr">
        <is>
          <t>Not Started</t>
        </is>
      </c>
      <c r="F126" s="18" t="n"/>
    </row>
    <row r="127" ht="16.5" customHeight="1" s="82">
      <c r="A127" s="19" t="n"/>
      <c r="B127" s="34" t="inlineStr">
        <is>
          <t>WSTG-CLNT-05</t>
        </is>
      </c>
      <c r="C127" s="15">
        <f>HYPERLINK("https://owasp.org/www-project-web-security-testing-guide/latest/4-Web_Application_Security_Testing/11-Client-side/05-CSS_Injection", "Inyección CSS")</f>
        <v/>
      </c>
      <c r="D127" s="16" t="inlineStr">
        <is>
          <t>N/A</t>
        </is>
      </c>
      <c r="E127" s="18" t="inlineStr">
        <is>
          <t>Not Started</t>
        </is>
      </c>
      <c r="F127" s="18" t="n"/>
    </row>
    <row r="128" ht="33" customHeight="1" s="82">
      <c r="A128" s="19" t="n"/>
      <c r="B128" s="34" t="inlineStr">
        <is>
          <t>WSTG-CLNT-06</t>
        </is>
      </c>
      <c r="C128" s="15">
        <f>HYPERLINK("https://owasp.org/www-project-web-security-testing-guide/latest/4-Web_Application_Security_Testing/11-Client-side/06-Client-side_Resource_Manipulation", "Manipulación de recursos del lado del cliente")</f>
        <v/>
      </c>
      <c r="D128" s="16" t="inlineStr">
        <is>
          <t>N/A</t>
        </is>
      </c>
      <c r="E128" s="18" t="inlineStr">
        <is>
          <t>Not Started</t>
        </is>
      </c>
      <c r="F128" s="18" t="n"/>
    </row>
    <row r="129" ht="33" customHeight="1" s="82">
      <c r="A129" s="19" t="n"/>
      <c r="B129" s="34" t="inlineStr">
        <is>
          <t>WSTG-CLNT-07</t>
        </is>
      </c>
      <c r="C129" s="15">
        <f>HYPERLINK("https://owasp.org/www-project-web-security-testing-guide/latest/4-Web_Application_Security_Testing/11-Client-side/07-Cross_Origin_Resource_Sharing", "Intercambio de recursos de origen cruzado")</f>
        <v/>
      </c>
      <c r="D129" s="16" t="inlineStr">
        <is>
          <t>N/A</t>
        </is>
      </c>
      <c r="E129" s="18" t="inlineStr">
        <is>
          <t>Not Started</t>
        </is>
      </c>
      <c r="F129" s="18" t="n"/>
    </row>
    <row r="130" ht="16.5" customHeight="1" s="82">
      <c r="A130" s="19" t="n"/>
      <c r="B130" s="34" t="inlineStr">
        <is>
          <t>WSTG-CLNT-08</t>
        </is>
      </c>
      <c r="C130" s="15">
        <f>HYPERLINK("https://owasp.org/www-project-web-security-testing-guide/latest/4-Web_Application_Security_Testing/11-Client-side/08-Cross_Site_Flashing", "Cross Site Flashing")</f>
        <v/>
      </c>
      <c r="D130" s="16" t="inlineStr">
        <is>
          <t>N/A</t>
        </is>
      </c>
      <c r="E130" s="18" t="inlineStr">
        <is>
          <t>Not Started</t>
        </is>
      </c>
      <c r="F130" s="18" t="n"/>
    </row>
    <row r="131" ht="16.5" customHeight="1" s="82">
      <c r="A131" s="19" t="n"/>
      <c r="B131" s="34" t="inlineStr">
        <is>
          <t>WSTG-CLNT-09</t>
        </is>
      </c>
      <c r="C131" s="15">
        <f>HYPERLINK("https://owasp.org/www-project-web-security-testing-guide/latest/4-Web_Application_Security_Testing/11-Client-side/09-Clickjacking", "Pruebas de clickjacking")</f>
        <v/>
      </c>
      <c r="D131" s="16" t="inlineStr">
        <is>
          <t>N/A</t>
        </is>
      </c>
      <c r="E131" s="18" t="inlineStr">
        <is>
          <t>Not Started</t>
        </is>
      </c>
      <c r="F131" s="18" t="n"/>
    </row>
    <row r="132" ht="16.5" customHeight="1" s="82">
      <c r="A132" s="19" t="n"/>
      <c r="B132" s="34" t="inlineStr">
        <is>
          <t>WSTG-CLNT-10</t>
        </is>
      </c>
      <c r="C132" s="15">
        <f>HYPERLINK("https://owasp.org/www-project-web-security-testing-guide/latest/4-Web_Application_Security_Testing/11-Client-side/10-WebSockets", "WebSockets")</f>
        <v/>
      </c>
      <c r="D132" s="16" t="inlineStr">
        <is>
          <t>N/A</t>
        </is>
      </c>
      <c r="E132" s="18" t="inlineStr">
        <is>
          <t>Not Started</t>
        </is>
      </c>
      <c r="F132" s="18" t="n"/>
    </row>
    <row r="133" ht="16.5" customHeight="1" s="82">
      <c r="A133" s="19" t="n"/>
      <c r="B133" s="34" t="inlineStr">
        <is>
          <t>WSTG-CLNT-11</t>
        </is>
      </c>
      <c r="C133" s="15">
        <f>HYPERLINK("https://owasp.org/www-project-web-security-testing-guide/latest/4-Web_Application_Security_Testing/11-Client-side/11-Web_Messaging", "Mensajería web")</f>
        <v/>
      </c>
      <c r="D133" s="16" t="inlineStr">
        <is>
          <t>N/A</t>
        </is>
      </c>
      <c r="E133" s="18" t="inlineStr">
        <is>
          <t>Not Started</t>
        </is>
      </c>
      <c r="F133" s="18" t="n"/>
    </row>
    <row r="134" ht="16.5" customHeight="1" s="82">
      <c r="A134" s="19" t="n"/>
      <c r="B134" s="34" t="inlineStr">
        <is>
          <t>WSTG-CLNT-12</t>
        </is>
      </c>
      <c r="C134" s="15">
        <f>HYPERLINK("https://owasp.org/www-project-web-security-testing-guide/latest/4-Web_Application_Security_Testing/11-Client-side/12-Browser_Storage", "Almacenamiento del navegador")</f>
        <v/>
      </c>
      <c r="D134" s="16" t="inlineStr">
        <is>
          <t>N/A</t>
        </is>
      </c>
      <c r="E134" s="18" t="inlineStr">
        <is>
          <t>Not Started</t>
        </is>
      </c>
      <c r="F134" s="18" t="n"/>
    </row>
    <row r="135" ht="16.5" customHeight="1" s="82">
      <c r="A135" s="19" t="n"/>
      <c r="B135" s="34" t="inlineStr">
        <is>
          <t>WSTG-CLNT-13</t>
        </is>
      </c>
      <c r="C135" s="15">
        <f>HYPERLINK("https://owasp.org/www-project-web-security-testing-guide/latest/4-Web_Application_Security_Testing/11-Client-side/13-Cross_Site_Script_Inclusion", "Inclusión de scripts entre sitios")</f>
        <v/>
      </c>
      <c r="D135" s="16" t="inlineStr">
        <is>
          <t>N/A</t>
        </is>
      </c>
      <c r="E135" s="18" t="inlineStr">
        <is>
          <t>Not Started</t>
        </is>
      </c>
      <c r="F135" s="18" t="n"/>
    </row>
    <row r="136" ht="16.5" customHeight="1" s="82">
      <c r="A136" s="19" t="n"/>
      <c r="B136" s="34" t="inlineStr">
        <is>
          <t>WSTG-CLNT-14</t>
        </is>
      </c>
      <c r="C136" s="15">
        <f>HYPERLINK("https://owasp.org/www-project-web-security-testing-guide/latest/4-Web_Application_Security_Testing/11-Client-side/14-Reverse_Tabnabbing", "Reverse Tabnabbing")</f>
        <v/>
      </c>
      <c r="D136" s="16" t="inlineStr">
        <is>
          <t>N/A</t>
        </is>
      </c>
      <c r="E136" s="18" t="inlineStr">
        <is>
          <t>Not Started</t>
        </is>
      </c>
      <c r="F136" s="18" t="n"/>
    </row>
    <row r="137" ht="33" customHeight="1" s="82">
      <c r="A137" s="19" t="n"/>
      <c r="B137" s="34" t="inlineStr">
        <is>
          <t>WSTG-CLNT-15</t>
        </is>
      </c>
      <c r="C137" s="15">
        <f>HYPERLINK("https://owasp.org/www-project-web-security-testing-guide/latest/4-Web_Application_Security_Testing/11-Client-side/15-Client-Side_Template_Injection", "Inyección de Plantillas del Lado del Cliente")</f>
        <v/>
      </c>
      <c r="D137" s="16" t="inlineStr">
        <is>
          <t>N/A</t>
        </is>
      </c>
      <c r="E137" s="18" t="inlineStr">
        <is>
          <t>Not Started</t>
        </is>
      </c>
      <c r="F137" s="18" t="n"/>
    </row>
    <row r="138" ht="15" customHeight="1" s="82">
      <c r="A138" s="97" t="n"/>
      <c r="B138" s="98" t="n"/>
      <c r="C138" s="99" t="n"/>
      <c r="D138" s="99" t="n"/>
      <c r="E138" s="99" t="n"/>
      <c r="F138" s="99" t="n"/>
    </row>
    <row r="139" ht="47.25" customHeight="1" s="82">
      <c r="A139" s="9" t="n"/>
      <c r="B139" s="100" t="inlineStr">
        <is>
          <t>API Testing</t>
        </is>
      </c>
      <c r="C139" s="101" t="inlineStr">
        <is>
          <t>Test Name</t>
        </is>
      </c>
      <c r="D139" s="101" t="inlineStr">
        <is>
          <t>Objectives</t>
        </is>
      </c>
      <c r="E139" s="101" t="inlineStr">
        <is>
          <t>Status</t>
        </is>
      </c>
      <c r="F139" s="101" t="inlineStr">
        <is>
          <t>Notes</t>
        </is>
      </c>
    </row>
    <row r="140" ht="16.5" customHeight="1" s="82">
      <c r="A140" s="19" t="n"/>
      <c r="B140" s="34" t="inlineStr">
        <is>
          <t>WSTG-APIT-01</t>
        </is>
      </c>
      <c r="C140" s="15">
        <f>HYPERLINK("https://owasp.org/www-project-web-security-testing-guide/latest/4-Web_Application_Security_Testing/12-API_Testing/01-API_Reconnaissance", "Reconocimiento de API")</f>
        <v/>
      </c>
      <c r="D140" s="16" t="inlineStr">
        <is>
          <t>N/A</t>
        </is>
      </c>
      <c r="E140" s="18" t="inlineStr">
        <is>
          <t>Not Started</t>
        </is>
      </c>
      <c r="F140" s="18" t="n"/>
    </row>
    <row r="141" ht="33" customHeight="1" s="82">
      <c r="A141" s="19" t="n"/>
      <c r="B141" s="34" t="inlineStr">
        <is>
          <t>WSTG-APIT-02</t>
        </is>
      </c>
      <c r="C141" s="15">
        <f>HYPERLINK("https://owasp.org/www-project-web-security-testing-guide/latest/4-Web_Application_Security_Testing/12-API_Testing/02-API_Broken_Object_Level_Authorization", "Autorización rota a nivel de objeto en API")</f>
        <v/>
      </c>
      <c r="D141" s="16" t="inlineStr">
        <is>
          <t>N/A</t>
        </is>
      </c>
      <c r="E141" s="18" t="inlineStr">
        <is>
          <t>Not Started</t>
        </is>
      </c>
      <c r="F141" s="18" t="n"/>
    </row>
    <row r="142" ht="16.5" customHeight="1" s="82">
      <c r="A142" s="19" t="n"/>
      <c r="B142" s="34" t="inlineStr">
        <is>
          <t>WSTG-APIT-03</t>
        </is>
      </c>
      <c r="C142" s="15">
        <f>HYPERLINK("https://owasp.org/www-project-web-security-testing-guide/latest/4-Web_Application_Security_Testing/12-API_Testing/03-Excessive_Data_Exposure", "Exposición excesiva de datos")</f>
        <v/>
      </c>
      <c r="D142" s="16" t="inlineStr">
        <is>
          <t>N/A</t>
        </is>
      </c>
      <c r="E142" s="18" t="inlineStr">
        <is>
          <t>Not Started</t>
        </is>
      </c>
      <c r="F142" s="18" t="n"/>
    </row>
    <row r="143" ht="33" customHeight="1" s="82">
      <c r="A143" s="19" t="n"/>
      <c r="B143" s="34" t="inlineStr">
        <is>
          <t>WSTG-APIT-04</t>
        </is>
      </c>
      <c r="C143" s="15">
        <f>HYPERLINK("https://owasp.org/www-project-web-security-testing-guide/latest/4-Web_Application_Security_Testing/12-API_Testing/04-API_Broken_Function_Level_Authorization", "Autorización rota a nivel de función de API")</f>
        <v/>
      </c>
      <c r="D143" s="16" t="inlineStr">
        <is>
          <t>N/A</t>
        </is>
      </c>
      <c r="E143" s="18" t="inlineStr">
        <is>
          <t>Not Started</t>
        </is>
      </c>
      <c r="F143" s="18" t="n"/>
    </row>
    <row r="144" ht="16.5" customHeight="1" s="82">
      <c r="A144" s="19" t="n"/>
      <c r="B144" s="34" t="inlineStr">
        <is>
          <t>WSTG-APIT-99</t>
        </is>
      </c>
      <c r="C144" s="15">
        <f>HYPERLINK("https://owasp.org/www-project-web-security-testing-guide/latest/4-Web_Application_Security_Testing/12-API_Testing/99-GraphQL", "GraphQL")</f>
        <v/>
      </c>
      <c r="D144" s="16" t="inlineStr">
        <is>
          <t>N/A</t>
        </is>
      </c>
      <c r="E144" s="18" t="inlineStr">
        <is>
          <t>Not Started</t>
        </is>
      </c>
      <c r="F144" s="18" t="n"/>
    </row>
    <row r="145" ht="15" customHeight="1" s="82">
      <c r="A145" s="97" t="n"/>
      <c r="B145" s="98" t="n"/>
      <c r="C145" s="99" t="n"/>
      <c r="D145" s="99" t="n"/>
      <c r="E145" s="99" t="n"/>
      <c r="F145" s="99" t="n"/>
    </row>
    <row r="146" ht="47.25" customHeight="1" s="82">
      <c r="A146" s="9" t="n"/>
      <c r="B146" s="100" t="inlineStr">
        <is>
          <t>WebAssembly Testing</t>
        </is>
      </c>
      <c r="C146" s="101" t="inlineStr">
        <is>
          <t>Test Name</t>
        </is>
      </c>
      <c r="D146" s="101" t="inlineStr">
        <is>
          <t>Objectives</t>
        </is>
      </c>
      <c r="E146" s="101" t="inlineStr">
        <is>
          <t>Status</t>
        </is>
      </c>
      <c r="F146" s="101" t="inlineStr">
        <is>
          <t>Notes</t>
        </is>
      </c>
    </row>
    <row r="147" ht="16.5" customHeight="1" s="82">
      <c r="A147" s="19" t="n"/>
      <c r="B147" s="34" t="inlineStr">
        <is>
          <t>WSTG-WASM-01</t>
        </is>
      </c>
      <c r="C147" s="15">
        <f>HYPERLINK("https://owasp.org/www-project-web-security-testing-guide/latest/4-Web_Application_Security_Testing/13-WebAssembly_Testing/01-WebAssembly_Reconnaissance", "Reconocimiento de WebAssembly")</f>
        <v/>
      </c>
      <c r="D147" s="16" t="inlineStr">
        <is>
          <t>N/A</t>
        </is>
      </c>
      <c r="E147" s="18" t="inlineStr">
        <is>
          <t>Not Started</t>
        </is>
      </c>
      <c r="F147" s="18" t="n"/>
    </row>
    <row r="148" ht="15" customHeight="1" s="82">
      <c r="A148" s="97" t="n"/>
      <c r="B148" s="98" t="n"/>
      <c r="C148" s="99" t="n"/>
      <c r="D148" s="99" t="n"/>
      <c r="E148" s="99" t="n"/>
      <c r="F148" s="99" t="n"/>
    </row>
  </sheetData>
  <mergeCells count="1">
    <mergeCell ref="B1:C1"/>
  </mergeCells>
  <conditionalFormatting sqref="B4:F4">
    <cfRule type="expression" priority="1" dxfId="13">
      <formula>$E4="Pass"</formula>
    </cfRule>
    <cfRule type="expression" priority="2" dxfId="12">
      <formula>$E4="N/A"</formula>
    </cfRule>
    <cfRule type="expression" priority="3" dxfId="11">
      <formula>$E4="Issues"</formula>
    </cfRule>
  </conditionalFormatting>
  <conditionalFormatting sqref="B4:F148">
    <cfRule type="expression" priority="1" dxfId="13">
      <formula>$E4="Pass"</formula>
    </cfRule>
    <cfRule type="expression" priority="2" dxfId="12">
      <formula>$E4="N/A"</formula>
    </cfRule>
    <cfRule type="expression" priority="3" dxfId="11">
      <formula>$E4="Issues"</formula>
    </cfRule>
  </conditionalFormatting>
  <dataValidations count="1">
    <dataValidation sqref="E4 E6 E7 E8 E9 E10 E11 E12 E13 E14 E15 E18 E19 E20 E21 E22 E23 E24 E25 E26 E27 E28 E29 E30 E31 E32 E35 E36 E37 E38 E39 E42 E43 E44 E45 E46 E47 E48 E49 E50 E51 E52 E55 E56 E57 E58 E59 E62 E63 E64 E65 E66 E67 E68 E69 E70 E71 E72 E75 E76 E77 E78 E79 E80 E81 E82 E83 E84 E85 E86 E87 E88 E89 E90 E91 E92 E93 E94 E95 E96 E97 E98 E101 E102 E105 E106 E107 E108 E111 E112 E113 E114 E115 E116 E117 E118 E119 E120 E123 E124 E125 E126 E127 E128 E129 E130 E131 E132 E133 E134 E135 E136 E137 E140 E141 E142 E143 E144 E147" showDropDown="0" showInputMessage="0" showErrorMessage="0" allowBlank="1" type="list">
      <formula1>"Not Started,Pass,Issues,N/A"</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L14"/>
  <sheetViews>
    <sheetView workbookViewId="0">
      <selection activeCell="A1" sqref="A1"/>
    </sheetView>
  </sheetViews>
  <sheetFormatPr baseColWidth="10" defaultColWidth="12.6640625" defaultRowHeight="15.75" customHeight="1"/>
  <cols>
    <col width="3.6640625" customWidth="1" style="82" min="1" max="1"/>
    <col width="6.6640625" customWidth="1" style="82" min="2" max="2"/>
    <col width="16.1640625" customWidth="1" style="82" min="3" max="3"/>
    <col width="30.1640625" customWidth="1" style="82" min="4" max="4"/>
    <col width="24.1640625" customWidth="1" style="82" min="5" max="5"/>
    <col width="9.1640625" customWidth="1" style="82" min="6" max="8"/>
    <col width="20.5" customWidth="1" style="82" min="9" max="9"/>
    <col width="15.6640625" customWidth="1" style="82" min="10" max="10"/>
    <col width="13.6640625" customWidth="1" style="82" min="11" max="11"/>
    <col width="3.83203125" customWidth="1" style="82" min="12" max="12"/>
  </cols>
  <sheetData>
    <row r="1" ht="37.5" customHeight="1" s="82">
      <c r="A1" s="1" t="n"/>
      <c r="B1" s="20" t="inlineStr">
        <is>
          <t>OWASP: Summary Findings</t>
        </is>
      </c>
      <c r="C1" s="21" t="n"/>
      <c r="D1" s="22" t="n"/>
      <c r="E1" s="22" t="n"/>
      <c r="F1" s="23" t="n"/>
      <c r="G1" s="23" t="n"/>
      <c r="H1" s="23" t="n"/>
      <c r="I1" s="22" t="n"/>
      <c r="J1" s="22" t="n"/>
      <c r="K1" s="22" t="n"/>
      <c r="L1" s="4" t="n"/>
    </row>
    <row r="2" ht="13" customHeight="1" s="82">
      <c r="A2" s="5" t="n"/>
      <c r="B2" s="24" t="n"/>
      <c r="C2" s="25" t="n"/>
      <c r="D2" s="25" t="n"/>
      <c r="E2" s="26" t="n"/>
      <c r="F2" s="27" t="n"/>
      <c r="G2" s="27" t="n"/>
      <c r="H2" s="27" t="n"/>
      <c r="I2" s="26" t="n"/>
      <c r="J2" s="26" t="n"/>
      <c r="K2" s="26" t="n"/>
      <c r="L2" s="8" t="n"/>
    </row>
    <row r="3" ht="33" customHeight="1" s="82">
      <c r="A3" s="9" t="n"/>
      <c r="B3" s="28" t="inlineStr">
        <is>
          <t>Nº</t>
        </is>
      </c>
      <c r="C3" s="29" t="inlineStr">
        <is>
          <t>OTG</t>
        </is>
      </c>
      <c r="D3" s="29" t="inlineStr">
        <is>
          <t>Vulnerability Name</t>
        </is>
      </c>
      <c r="E3" s="30" t="inlineStr">
        <is>
          <t>Affected Host/Path</t>
        </is>
      </c>
      <c r="F3" s="31" t="inlineStr">
        <is>
          <t>Impact</t>
        </is>
      </c>
      <c r="G3" s="31" t="inlineStr">
        <is>
          <t>Likelihood</t>
        </is>
      </c>
      <c r="H3" s="31" t="inlineStr">
        <is>
          <t>Risk</t>
        </is>
      </c>
      <c r="I3" s="30" t="inlineStr">
        <is>
          <t>Observation/Implication</t>
        </is>
      </c>
      <c r="J3" s="30" t="inlineStr">
        <is>
          <t>Recommendation</t>
        </is>
      </c>
      <c r="K3" s="30" t="inlineStr">
        <is>
          <t>Test Evidence</t>
        </is>
      </c>
      <c r="L3" s="12" t="n"/>
    </row>
    <row r="4" ht="28" customHeight="1" s="82">
      <c r="A4" s="19" t="n"/>
      <c r="B4" s="32" t="n">
        <v>1</v>
      </c>
      <c r="C4" s="18" t="inlineStr">
        <is>
          <t>WSTG-INFO-02</t>
        </is>
      </c>
      <c r="D4" s="18">
        <f t="array" ref="D4">INDEX('Testing Checklist'!C:C,MATCH(C4,'Testing Checklist'!B:B,0))</f>
        <v/>
      </c>
      <c r="E4" s="33" t="inlineStr">
        <is>
          <t>www.example.com/news.php (id,page)</t>
        </is>
      </c>
      <c r="F4" s="32" t="inlineStr">
        <is>
          <t>High</t>
        </is>
      </c>
      <c r="G4" s="32" t="inlineStr">
        <is>
          <t>Moderate</t>
        </is>
      </c>
      <c r="H4" s="32" t="inlineStr">
        <is>
          <t>High</t>
        </is>
      </c>
      <c r="I4" s="34" t="n"/>
      <c r="J4" s="34" t="n"/>
      <c r="K4" s="34" t="inlineStr">
        <is>
          <t>xxx-1</t>
        </is>
      </c>
      <c r="L4" s="19" t="n"/>
    </row>
    <row r="5" ht="42" customHeight="1" s="82">
      <c r="A5" s="19" t="n"/>
      <c r="B5" s="32" t="n">
        <v>2</v>
      </c>
      <c r="C5" s="18" t="inlineStr">
        <is>
          <t>WSTG-INFO-02</t>
        </is>
      </c>
      <c r="D5" s="18" t="inlineStr">
        <is>
          <t>Conduct Search Engine Discovery Reconnaissance for Information Leakage</t>
        </is>
      </c>
      <c r="E5" s="33" t="inlineStr">
        <is>
          <t>www.example.com/news.php (id,page)</t>
        </is>
      </c>
      <c r="F5" s="32" t="inlineStr">
        <is>
          <t>High</t>
        </is>
      </c>
      <c r="G5" s="32" t="inlineStr">
        <is>
          <t>Moderate</t>
        </is>
      </c>
      <c r="H5" s="32" t="inlineStr">
        <is>
          <t>High</t>
        </is>
      </c>
      <c r="I5" s="34" t="n"/>
      <c r="J5" s="34" t="n"/>
      <c r="K5" s="34" t="n"/>
      <c r="L5" s="19" t="n"/>
    </row>
    <row r="6" ht="42" customHeight="1" s="82">
      <c r="A6" s="19" t="n"/>
      <c r="B6" s="32" t="n">
        <v>3</v>
      </c>
      <c r="C6" s="18" t="inlineStr">
        <is>
          <t>WSTG-INFO-02</t>
        </is>
      </c>
      <c r="D6" s="18" t="inlineStr">
        <is>
          <t>Conduct Search Engine Discovery Reconnaissance for Information Leakage</t>
        </is>
      </c>
      <c r="E6" s="33" t="inlineStr">
        <is>
          <t>www.example.com/news.php (id,page)</t>
        </is>
      </c>
      <c r="F6" s="32" t="inlineStr">
        <is>
          <t>High</t>
        </is>
      </c>
      <c r="G6" s="32" t="inlineStr">
        <is>
          <t>Moderate</t>
        </is>
      </c>
      <c r="H6" s="32" t="inlineStr">
        <is>
          <t>High</t>
        </is>
      </c>
      <c r="I6" s="34" t="n"/>
      <c r="J6" s="34" t="n"/>
      <c r="K6" s="34" t="n"/>
      <c r="L6" s="19" t="n"/>
    </row>
    <row r="7" ht="13" customHeight="1" s="82">
      <c r="A7" s="19" t="n"/>
      <c r="B7" s="32" t="n"/>
      <c r="C7" s="18" t="n"/>
      <c r="D7" s="18" t="n"/>
      <c r="E7" s="34" t="n"/>
      <c r="F7" s="32" t="n"/>
      <c r="G7" s="32" t="n"/>
      <c r="H7" s="32" t="n"/>
      <c r="I7" s="34" t="n"/>
      <c r="J7" s="34" t="n"/>
      <c r="K7" s="34" t="n"/>
      <c r="L7" s="19" t="n"/>
    </row>
    <row r="8" ht="13" customHeight="1" s="82">
      <c r="A8" s="19" t="n"/>
      <c r="B8" s="32" t="n"/>
      <c r="C8" s="18" t="n"/>
      <c r="D8" s="18" t="n"/>
      <c r="E8" s="34" t="n"/>
      <c r="F8" s="32" t="n"/>
      <c r="G8" s="32" t="n"/>
      <c r="H8" s="32" t="n"/>
      <c r="I8" s="34" t="n"/>
      <c r="J8" s="34" t="n"/>
      <c r="K8" s="34" t="n"/>
      <c r="L8" s="19" t="n"/>
    </row>
    <row r="9" ht="13" customHeight="1" s="82">
      <c r="A9" s="19" t="n"/>
      <c r="B9" s="32" t="n"/>
      <c r="C9" s="18" t="n"/>
      <c r="D9" s="18" t="n"/>
      <c r="E9" s="34" t="n"/>
      <c r="F9" s="32" t="n"/>
      <c r="G9" s="32" t="n"/>
      <c r="H9" s="32" t="n"/>
      <c r="I9" s="34" t="n"/>
      <c r="J9" s="34" t="n"/>
      <c r="K9" s="34" t="n"/>
      <c r="L9" s="19" t="n"/>
    </row>
    <row r="10" ht="13" customHeight="1" s="82">
      <c r="A10" s="19" t="n"/>
      <c r="B10" s="32" t="n"/>
      <c r="C10" s="18" t="n"/>
      <c r="D10" s="18" t="n"/>
      <c r="E10" s="34" t="n"/>
      <c r="F10" s="32" t="n"/>
      <c r="G10" s="32" t="n"/>
      <c r="H10" s="32" t="n"/>
      <c r="I10" s="34" t="n"/>
      <c r="J10" s="34" t="n"/>
      <c r="K10" s="34" t="n"/>
      <c r="L10" s="19" t="n"/>
    </row>
    <row r="11" ht="13" customHeight="1" s="82">
      <c r="A11" s="19" t="n"/>
      <c r="B11" s="32" t="n"/>
      <c r="C11" s="18" t="n"/>
      <c r="D11" s="18" t="n"/>
      <c r="E11" s="34" t="n"/>
      <c r="F11" s="32" t="n"/>
      <c r="G11" s="32" t="n"/>
      <c r="H11" s="32" t="n"/>
      <c r="I11" s="34" t="n"/>
      <c r="J11" s="34" t="n"/>
      <c r="K11" s="34" t="n"/>
      <c r="L11" s="19" t="n"/>
    </row>
    <row r="12" ht="13" customHeight="1" s="82">
      <c r="A12" s="19" t="n"/>
      <c r="B12" s="32" t="n"/>
      <c r="C12" s="18" t="n"/>
      <c r="D12" s="18" t="n"/>
      <c r="E12" s="34" t="n"/>
      <c r="F12" s="32" t="n"/>
      <c r="G12" s="32" t="n"/>
      <c r="H12" s="32" t="n"/>
      <c r="I12" s="34" t="n"/>
      <c r="J12" s="34" t="n"/>
      <c r="K12" s="34" t="n"/>
      <c r="L12" s="19" t="n"/>
    </row>
    <row r="13" ht="13" customHeight="1" s="82">
      <c r="A13" s="19" t="n"/>
      <c r="B13" s="32" t="n"/>
      <c r="C13" s="18" t="n"/>
      <c r="D13" s="18" t="n"/>
      <c r="E13" s="34" t="n"/>
      <c r="F13" s="32" t="n"/>
      <c r="G13" s="32" t="n"/>
      <c r="H13" s="32" t="n"/>
      <c r="I13" s="34" t="n"/>
      <c r="J13" s="34" t="n"/>
      <c r="K13" s="34" t="n"/>
      <c r="L13" s="19" t="n"/>
    </row>
    <row r="14" ht="13" customHeight="1" s="82">
      <c r="A14" s="5" t="n"/>
      <c r="B14" s="24" t="n"/>
      <c r="C14" s="25" t="n"/>
      <c r="D14" s="25" t="n"/>
      <c r="E14" s="26" t="n"/>
      <c r="F14" s="27" t="n"/>
      <c r="G14" s="27" t="n"/>
      <c r="H14" s="27" t="n"/>
      <c r="I14" s="26" t="n"/>
      <c r="J14" s="26" t="n"/>
      <c r="K14" s="26" t="n"/>
      <c r="L14" s="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10" defaultColWidth="12.6640625" defaultRowHeight="15.75" customHeight="1"/>
  <cols>
    <col width="3.6640625" customWidth="1" style="82" min="1" max="1"/>
    <col width="18.33203125" customWidth="1" style="82" min="2" max="2"/>
    <col width="14.6640625" customWidth="1" style="82" min="3" max="5"/>
    <col width="4.1640625" customWidth="1" style="82" min="6" max="6"/>
    <col width="20.6640625" customWidth="1" style="82" min="7" max="7"/>
    <col width="42.6640625" customWidth="1" style="82" min="8" max="8"/>
    <col width="3.6640625" customWidth="1" style="82" min="9" max="9"/>
  </cols>
  <sheetData>
    <row r="1" ht="37.5" customHeight="1" s="82">
      <c r="A1" s="1" t="n"/>
      <c r="B1" s="20" t="inlineStr">
        <is>
          <t>OWASP: Risk Assessment Calculator</t>
        </is>
      </c>
      <c r="D1" s="21" t="n"/>
      <c r="E1" s="22" t="n"/>
      <c r="F1" s="35" t="n"/>
      <c r="G1" s="23" t="n"/>
      <c r="H1" s="23" t="n"/>
      <c r="I1" s="74" t="n"/>
    </row>
    <row r="2" ht="13.5" customHeight="1" s="82">
      <c r="A2" s="5" t="n"/>
      <c r="B2" s="24" t="n"/>
      <c r="C2" s="24" t="n"/>
      <c r="D2" s="25" t="n"/>
      <c r="E2" s="25" t="n"/>
      <c r="F2" s="36" t="n"/>
      <c r="G2" s="27" t="n"/>
      <c r="H2" s="37" t="n"/>
      <c r="I2" s="38" t="n"/>
    </row>
    <row r="3" ht="18" customHeight="1" s="82">
      <c r="A3" s="9" t="n"/>
      <c r="B3" s="102" t="inlineStr">
        <is>
          <t>Likelihood factors</t>
        </is>
      </c>
      <c r="F3" s="39" t="n"/>
      <c r="G3" s="102" t="inlineStr">
        <is>
          <t>Impact factors</t>
        </is>
      </c>
      <c r="I3" s="40" t="n"/>
    </row>
    <row r="4" ht="28.5" customHeight="1" s="82">
      <c r="A4" s="19" t="n"/>
      <c r="B4" s="103" t="inlineStr">
        <is>
          <t>Threat Agent Factors</t>
        </is>
      </c>
      <c r="F4" s="41" t="n"/>
      <c r="G4" s="103" t="inlineStr">
        <is>
          <t>Technical Impact Factors</t>
        </is>
      </c>
      <c r="I4" s="40" t="n"/>
    </row>
    <row r="5" ht="15.75" customHeight="1" s="82">
      <c r="A5" s="19" t="n"/>
      <c r="B5" s="42" t="inlineStr">
        <is>
          <t>Skills required</t>
        </is>
      </c>
      <c r="C5" s="104" t="inlineStr">
        <is>
          <t>Some technical skills [3]</t>
        </is>
      </c>
      <c r="F5" s="43">
        <f>VLOOKUP(C5,References!A2:B8,2,0)</f>
        <v/>
      </c>
      <c r="G5" s="42" t="inlineStr">
        <is>
          <t>Loss of confidentiality</t>
        </is>
      </c>
      <c r="H5" s="83" t="inlineStr">
        <is>
          <t>Minimal non-sensitive data disclosed [2]</t>
        </is>
      </c>
      <c r="I5" s="45">
        <f>VLOOKUP(H5,References!A$11:B$16,2,0)</f>
        <v/>
      </c>
    </row>
    <row r="6" ht="15.75" customHeight="1" s="82">
      <c r="A6" s="19" t="n"/>
      <c r="B6" s="42" t="inlineStr">
        <is>
          <t>Motive</t>
        </is>
      </c>
      <c r="C6" s="105" t="inlineStr">
        <is>
          <t>Possible reward [4]</t>
        </is>
      </c>
      <c r="F6" s="43">
        <f>VLOOKUP(C6,References!C2:D6,2,0)</f>
        <v/>
      </c>
      <c r="G6" s="42" t="inlineStr">
        <is>
          <t>Loss of Integrity</t>
        </is>
      </c>
      <c r="H6" s="83" t="inlineStr">
        <is>
          <t>All data totally corrupt [9]</t>
        </is>
      </c>
      <c r="I6" s="45">
        <f>VLOOKUP(H6,References!C$11:D$17,2,0)</f>
        <v/>
      </c>
    </row>
    <row r="7" ht="15.75" customHeight="1" s="82">
      <c r="A7" s="19" t="n"/>
      <c r="B7" s="42" t="inlineStr">
        <is>
          <t>Opportunity</t>
        </is>
      </c>
      <c r="C7" s="105" t="inlineStr">
        <is>
          <t>Full access or expensive resources required [0]</t>
        </is>
      </c>
      <c r="F7" s="43">
        <f>VLOOKUP(C7,References!E2:F6,2,0)</f>
        <v/>
      </c>
      <c r="G7" s="42" t="inlineStr">
        <is>
          <t>Loss of Availability</t>
        </is>
      </c>
      <c r="H7" s="83" t="inlineStr">
        <is>
          <t>Minimal secondary services interrupted [1]</t>
        </is>
      </c>
      <c r="I7" s="45">
        <f>VLOOKUP(H7,References!E$11:F$16,2,0)</f>
        <v/>
      </c>
    </row>
    <row r="8" ht="15.75" customHeight="1" s="82">
      <c r="A8" s="19" t="n"/>
      <c r="B8" s="42" t="inlineStr">
        <is>
          <t>Population Size</t>
        </is>
      </c>
      <c r="C8" s="105" t="inlineStr">
        <is>
          <t>System Administrators [2]</t>
        </is>
      </c>
      <c r="F8" s="43">
        <f>VLOOKUP(C8,References!G3:H8,2,0)</f>
        <v/>
      </c>
      <c r="G8" s="42" t="inlineStr">
        <is>
          <t>Loss of Accountability</t>
        </is>
      </c>
      <c r="H8" s="83" t="inlineStr">
        <is>
          <t>Not Applicable [0]</t>
        </is>
      </c>
      <c r="I8" s="45">
        <f>VLOOKUP(H8,References!G$11:H$16,2,0)</f>
        <v/>
      </c>
    </row>
    <row r="9" ht="12.75" customHeight="1" s="82">
      <c r="A9" s="46" t="n"/>
      <c r="B9" s="47" t="n"/>
      <c r="C9" s="47" t="n"/>
      <c r="D9" s="47" t="n"/>
      <c r="E9" s="47" t="n"/>
      <c r="F9" s="48" t="n"/>
      <c r="G9" s="47" t="n"/>
      <c r="H9" s="47" t="n"/>
      <c r="I9" s="45" t="n"/>
    </row>
    <row r="10" ht="28.5" customHeight="1" s="82">
      <c r="A10" s="19" t="n"/>
      <c r="B10" s="103" t="inlineStr">
        <is>
          <t>Vulnerability Factors</t>
        </is>
      </c>
      <c r="F10" s="49" t="n"/>
      <c r="G10" s="103" t="inlineStr">
        <is>
          <t>Business Impact Factors</t>
        </is>
      </c>
      <c r="I10" s="49" t="n"/>
    </row>
    <row r="11" ht="18" customHeight="1" s="82">
      <c r="A11" s="19" t="n"/>
      <c r="B11" s="42" t="inlineStr">
        <is>
          <t>Easy of Discovery</t>
        </is>
      </c>
      <c r="C11" s="104" t="inlineStr">
        <is>
          <t>Practically impossible [1]</t>
        </is>
      </c>
      <c r="F11" s="43">
        <f>VLOOKUP(C11,References!I2:J7,2,0)</f>
        <v/>
      </c>
      <c r="G11" s="42" t="inlineStr">
        <is>
          <t>Financial damage</t>
        </is>
      </c>
      <c r="H11" s="83" t="inlineStr">
        <is>
          <t>Minor effect on annual profit [3]</t>
        </is>
      </c>
      <c r="I11" s="45">
        <f>VLOOKUP(H11,References!I$11:J$16,2,0)</f>
        <v/>
      </c>
    </row>
    <row r="12" ht="18" customHeight="1" s="82">
      <c r="A12" s="19" t="n"/>
      <c r="B12" s="42" t="inlineStr">
        <is>
          <t>Ease of Exploit</t>
        </is>
      </c>
      <c r="C12" s="104" t="inlineStr">
        <is>
          <t>Easy [5]</t>
        </is>
      </c>
      <c r="F12" s="43">
        <f>VLOOKUP(C12,References!K$2:L$7,2,0)</f>
        <v/>
      </c>
      <c r="G12" s="42" t="inlineStr">
        <is>
          <t>Reputation damage</t>
        </is>
      </c>
      <c r="H12" s="83" t="inlineStr">
        <is>
          <t>Loss of major accounts [4]</t>
        </is>
      </c>
      <c r="I12" s="45">
        <f>VLOOKUP(H12,References!K$11:L$16,2,0)</f>
        <v/>
      </c>
    </row>
    <row r="13" ht="18" customHeight="1" s="82">
      <c r="A13" s="19" t="n"/>
      <c r="B13" s="42" t="inlineStr">
        <is>
          <t>Awareness</t>
        </is>
      </c>
      <c r="C13" s="104" t="inlineStr">
        <is>
          <t>Hidden [4]</t>
        </is>
      </c>
      <c r="F13" s="43">
        <f>VLOOKUP(C13,References!M$2:N$7,2,0)</f>
        <v/>
      </c>
      <c r="G13" s="42" t="inlineStr">
        <is>
          <t>Non-Compliance</t>
        </is>
      </c>
      <c r="H13" s="83" t="inlineStr">
        <is>
          <t>Clear violation [5]</t>
        </is>
      </c>
      <c r="I13" s="45">
        <f>VLOOKUP(H13,References!M$11:O$16,2,0)</f>
        <v/>
      </c>
    </row>
    <row r="14" ht="18" customHeight="1" s="82">
      <c r="A14" s="8" t="n"/>
      <c r="B14" s="42" t="inlineStr">
        <is>
          <t>Intrusion Detection</t>
        </is>
      </c>
      <c r="C14" s="104" t="inlineStr">
        <is>
          <t>Logged and reviewed [3]</t>
        </is>
      </c>
      <c r="F14" s="43">
        <f>VLOOKUP(C14,References!O$2:P$7,2,0)</f>
        <v/>
      </c>
      <c r="G14" s="42" t="inlineStr">
        <is>
          <t>Privacy violation</t>
        </is>
      </c>
      <c r="H14" s="83" t="inlineStr">
        <is>
          <t>One individual [3]</t>
        </is>
      </c>
      <c r="I14" s="45">
        <f>VLOOKUP(H14,References!O$11:P$16,2,0)</f>
        <v/>
      </c>
    </row>
    <row r="15" ht="12.75" customHeight="1" s="82">
      <c r="A15" s="5" t="n"/>
      <c r="B15" s="7" t="n"/>
      <c r="C15" s="7" t="n"/>
      <c r="D15" s="7" t="n"/>
      <c r="E15" s="7" t="n"/>
      <c r="F15" s="50" t="n"/>
      <c r="G15" s="7" t="n"/>
      <c r="H15" s="47" t="n"/>
      <c r="I15" s="40" t="n"/>
    </row>
    <row r="16" ht="15" customHeight="1" s="82">
      <c r="A16" s="8" t="n"/>
      <c r="B16" s="106" t="inlineStr">
        <is>
          <t>Likelihood score:</t>
        </is>
      </c>
      <c r="C16" s="107">
        <f>IFERROR(AVERAGE(F5:F8,F11:F14),"All factors require a selection.")</f>
        <v/>
      </c>
      <c r="D16" s="108" t="n"/>
      <c r="E16" s="109" t="n"/>
      <c r="F16" s="51" t="n"/>
      <c r="G16" s="110" t="inlineStr">
        <is>
          <t>Impact score:</t>
        </is>
      </c>
      <c r="H16" s="107">
        <f>IFERROR(AVERAGE(I5:I8,I11:I14),"All factors require a selection.")</f>
        <v/>
      </c>
      <c r="I16" s="40" t="n"/>
    </row>
    <row r="17" ht="15" customHeight="1" s="82">
      <c r="A17" s="8" t="n"/>
      <c r="B17" s="111" t="n"/>
      <c r="C17" s="112" t="n"/>
      <c r="D17" s="113" t="n"/>
      <c r="E17" s="114" t="n"/>
      <c r="F17" s="40" t="n"/>
      <c r="G17" s="111" t="n"/>
      <c r="H17" s="111" t="n"/>
      <c r="I17" s="40" t="n"/>
    </row>
    <row r="18" ht="12.75" customHeight="1" s="82">
      <c r="A18" s="5" t="n"/>
      <c r="B18" s="52" t="n"/>
      <c r="C18" s="52" t="n"/>
      <c r="D18" s="52" t="n"/>
      <c r="E18" s="52" t="n"/>
      <c r="F18" s="36" t="n"/>
      <c r="G18" s="52" t="n"/>
      <c r="H18" s="52" t="n"/>
      <c r="I18" s="40" t="n"/>
    </row>
    <row r="19" ht="12.75" customHeight="1" s="82">
      <c r="A19" s="5" t="n"/>
      <c r="B19" s="7" t="n"/>
      <c r="C19" s="7" t="n"/>
      <c r="D19" s="7" t="n"/>
      <c r="E19" s="7" t="n"/>
      <c r="F19" s="36" t="n"/>
      <c r="G19" s="7" t="n"/>
      <c r="H19" s="7" t="n"/>
      <c r="I19" s="40" t="n"/>
    </row>
    <row r="20" ht="20.25" customHeight="1" s="82">
      <c r="A20" s="8" t="n"/>
      <c r="B20" s="115" t="inlineStr">
        <is>
          <t>Overall Risk Severity :</t>
        </is>
      </c>
      <c r="C20" s="116" t="n"/>
      <c r="D20" s="117" t="n"/>
      <c r="E20" s="53">
        <f>IFERROR(IF(AND($C$16&lt;3,$H$16&lt;3),"Note",IF(OR(AND($C$16&lt;3,$H$16&gt;=3,$H$16&lt;6),AND($C$16&gt;=3,$C$16&lt;6,$H$16&lt;3)),"Low",IF(OR(AND($C16&lt;3,$H16&gt;=6),AND($C16&gt;=3,$C16&lt;6,$H16&gt;=3,$H16&lt;6),AND($C16&gt;=6,$H16&lt;3)),"MODERATE",IF(OR(AND($C16&gt;=6,$C16&gt;=3,$H16&lt;6),AND($C16&gt;=3,$C16&lt;6,$H16&gt;6)),"High","Critical")))),"Note")</f>
        <v/>
      </c>
      <c r="F20" s="54" t="n"/>
      <c r="G20" s="55" t="n"/>
      <c r="H20" s="56" t="n"/>
      <c r="I20" s="40" t="n"/>
    </row>
    <row r="21" ht="12.75" customHeight="1" s="82">
      <c r="A21" s="5" t="n"/>
      <c r="B21" s="7" t="n"/>
      <c r="C21" s="7" t="n"/>
      <c r="D21" s="7" t="n"/>
      <c r="E21" s="7" t="n"/>
      <c r="F21" s="36" t="n"/>
      <c r="G21" s="55" t="n"/>
      <c r="H21" s="55" t="n"/>
      <c r="I21" s="40" t="n"/>
    </row>
    <row r="22" ht="18" customHeight="1" s="82">
      <c r="A22" s="8" t="n"/>
      <c r="C22" s="118" t="inlineStr">
        <is>
          <t>Impact</t>
        </is>
      </c>
      <c r="F22" s="40" t="n"/>
      <c r="G22" s="55" t="n"/>
      <c r="H22" s="55" t="n"/>
      <c r="I22" s="40" t="n"/>
    </row>
    <row r="23" ht="17.25" customHeight="1" s="82">
      <c r="A23" s="8" t="n"/>
      <c r="B23" s="57" t="inlineStr">
        <is>
          <t>Likelihood</t>
        </is>
      </c>
      <c r="C23" s="58">
        <f>IF($H16&lt;3,"-&gt;Low&lt;-","Low")</f>
        <v/>
      </c>
      <c r="D23" s="58">
        <f>IF(AND($H16&gt;=3,$H16&lt;6),"-&gt;Moderate&lt;-","Moderate")</f>
        <v/>
      </c>
      <c r="E23" s="58">
        <f>IF($H16&gt;=6,"-&gt;High&lt;-","High")</f>
        <v/>
      </c>
      <c r="F23" s="40" t="n"/>
      <c r="G23" s="59" t="n"/>
      <c r="H23" s="55" t="n"/>
      <c r="I23" s="40" t="n"/>
    </row>
    <row r="24" ht="22.5" customHeight="1" s="82">
      <c r="A24" s="60" t="n"/>
      <c r="B24" s="61">
        <f>IF($C16&lt;3,"-&gt;Low&lt;-","Low")</f>
        <v/>
      </c>
      <c r="C24" s="62">
        <f>IF(AND($C$16&lt;3,$H$16&lt;3),"-&gt;Note&lt;-","Note")</f>
        <v/>
      </c>
      <c r="D24" s="63">
        <f>IF(AND($C$16&lt;3,$H$16&gt;=3,$H$16&lt;6),"-&gt;Low&lt;-","Low")</f>
        <v/>
      </c>
      <c r="E24" s="64">
        <f>IF(AND($C16&lt;3,$H16&gt;=6),"-&gt;Moderate&lt;-","Moderate")</f>
        <v/>
      </c>
      <c r="F24" s="65" t="n"/>
      <c r="G24" s="66" t="n"/>
      <c r="H24" s="67" t="n"/>
      <c r="I24" s="65" t="n"/>
    </row>
    <row r="25" ht="22.5" customHeight="1" s="82">
      <c r="A25" s="60" t="n"/>
      <c r="B25" s="61">
        <f>IF(AND($C16&gt;=3,$C16&lt;6),"-&gt;Moderate&lt;-","Moderate")</f>
        <v/>
      </c>
      <c r="C25" s="63">
        <f>IF(AND($C$16&gt;=3,$C$16&lt;6,$H$16&lt;3),"-&gt;Low&lt;-","Low")</f>
        <v/>
      </c>
      <c r="D25" s="64">
        <f>IF(AND($C16&gt;=3,$C16&lt;6,$H16&gt;=3,$H16&lt;6),"-&gt;Moderate&lt;-","Moderate")</f>
        <v/>
      </c>
      <c r="E25" s="68">
        <f>IF(AND($C16&gt;=3,$C16&lt;6,$H16&gt;6),"-&gt;High&lt;-","High")</f>
        <v/>
      </c>
      <c r="F25" s="65" t="n"/>
      <c r="G25" s="66" t="n"/>
      <c r="H25" s="67" t="n"/>
      <c r="I25" s="65" t="n"/>
    </row>
    <row r="26" ht="22.5" customHeight="1" s="82">
      <c r="A26" s="60" t="n"/>
      <c r="B26" s="61">
        <f>IF($C16&gt;=6,"-&gt;High&lt;-","High")</f>
        <v/>
      </c>
      <c r="C26" s="64">
        <f>IF(AND($C16&gt;=6,$H16&lt;3),"-&gt;Moderate&lt;-","Moderate")</f>
        <v/>
      </c>
      <c r="D26" s="68">
        <f>IF(AND($C16&gt;=6,$C16&gt;=3,$H16&lt;6),"-&gt;High&lt;-","High")</f>
        <v/>
      </c>
      <c r="E26" s="69">
        <f>IF(AND($C$16&gt;=6,$H$16&gt;=6),"-&gt;Critical&lt;-","Critical")</f>
        <v/>
      </c>
      <c r="F26" s="65" t="n"/>
      <c r="G26" s="67" t="n"/>
      <c r="H26" s="67" t="n"/>
      <c r="I26" s="65" t="n"/>
    </row>
    <row r="27" ht="12.75" customHeight="1" s="82">
      <c r="A27" s="70" t="n"/>
      <c r="B27" s="7" t="n"/>
      <c r="C27" s="7" t="n"/>
      <c r="D27" s="7" t="n"/>
      <c r="E27" s="7" t="n"/>
      <c r="F27" s="26" t="n"/>
      <c r="G27" s="7" t="n"/>
      <c r="H27" s="7" t="n"/>
      <c r="I27" s="71" t="n"/>
    </row>
  </sheetData>
  <mergeCells count="20">
    <mergeCell ref="C22:E22"/>
    <mergeCell ref="C12:E12"/>
    <mergeCell ref="C11:E11"/>
    <mergeCell ref="B4:E4"/>
    <mergeCell ref="G10:H10"/>
    <mergeCell ref="C8:E8"/>
    <mergeCell ref="B3:E3"/>
    <mergeCell ref="C7:E7"/>
    <mergeCell ref="G3:H3"/>
    <mergeCell ref="B20:D20"/>
    <mergeCell ref="C16:E17"/>
    <mergeCell ref="C13:E13"/>
    <mergeCell ref="H16:H17"/>
    <mergeCell ref="G16:G17"/>
    <mergeCell ref="C6:E6"/>
    <mergeCell ref="G4:H4"/>
    <mergeCell ref="C14:E14"/>
    <mergeCell ref="C5:E5"/>
    <mergeCell ref="B16:B17"/>
    <mergeCell ref="B10:E10"/>
  </mergeCells>
  <conditionalFormatting sqref="E20:G20">
    <cfRule type="containsText" priority="1" operator="containsText" dxfId="10" text="critical">
      <formula>NOT(ISERROR(SEARCH(("critical"),(E20))))</formula>
    </cfRule>
    <cfRule type="containsText" priority="2" operator="containsText" dxfId="9" text="high">
      <formula>NOT(ISERROR(SEARCH(("high"),(E20))))</formula>
    </cfRule>
    <cfRule type="containsText" priority="3" operator="containsText" dxfId="8" text="moderate">
      <formula>NOT(ISERROR(SEARCH(("moderate"),(E20))))</formula>
    </cfRule>
    <cfRule type="containsText" priority="4" operator="containsText" dxfId="7" text="low">
      <formula>NOT(ISERROR(SEARCH(("low"),(E20))))</formula>
    </cfRule>
    <cfRule type="containsText" priority="5" operator="containsText" dxfId="6" text="Note">
      <formula>NOT(ISERROR(SEARCH(("Note"),(E20))))</formula>
    </cfRule>
  </conditionalFormatting>
  <conditionalFormatting sqref="B24:B26 C23:E23">
    <cfRule type="containsText" priority="6" operator="containsText" dxfId="0" text="&lt;">
      <formula>NOT(ISERROR(SEARCH(("&lt;"),(C23))))</formula>
    </cfRule>
  </conditionalFormatting>
  <conditionalFormatting sqref="B24:B26 C23:E26">
    <cfRule type="containsText" priority="7" operator="containsText" dxfId="0" text="&lt;">
      <formula>NOT(ISERROR(SEARCH(("&lt;"),(C23))))</formula>
    </cfRule>
  </conditionalFormatting>
  <conditionalFormatting sqref="D26">
    <cfRule type="containsText" priority="8" operator="containsText" dxfId="0" text="&lt;">
      <formula>NOT(ISERROR(SEARCH(("&lt;"),(D26))))</formula>
    </cfRule>
  </conditionalFormatting>
  <conditionalFormatting sqref="E25">
    <cfRule type="containsText" priority="9" operator="containsText" dxfId="0" text="&lt;">
      <formula>NOT(ISERROR(SEARCH(("&lt;"),(E25))))</formula>
    </cfRule>
  </conditionalFormatting>
  <conditionalFormatting sqref="D25">
    <cfRule type="containsText" priority="10" operator="containsText" dxfId="0" text="&lt;">
      <formula>NOT(ISERROR(SEARCH(("&lt;"),(D25))))</formula>
    </cfRule>
  </conditionalFormatting>
  <conditionalFormatting sqref="C26">
    <cfRule type="containsText" priority="11" operator="containsText" dxfId="0" text="&lt;">
      <formula>NOT(ISERROR(SEARCH(("&lt;"),(C26))))</formula>
    </cfRule>
  </conditionalFormatting>
  <dataValidations count="16">
    <dataValidation sqref="H5" showDropDown="0" showInputMessage="0" showErrorMessage="1" allowBlank="1" type="list">
      <formula1>LossofConfidentiality</formula1>
    </dataValidation>
    <dataValidation sqref="H7" showDropDown="0" showInputMessage="0" showErrorMessage="1" allowBlank="1" type="list">
      <formula1>LossofAvailability</formula1>
    </dataValidation>
    <dataValidation sqref="H6" showDropDown="0" showInputMessage="0" showErrorMessage="1" allowBlank="1" type="list">
      <formula1>LossofIntegrity</formula1>
    </dataValidation>
    <dataValidation sqref="C13" showDropDown="0" showInputMessage="0" showErrorMessage="1" allowBlank="1" type="list">
      <formula1>Awareness</formula1>
    </dataValidation>
    <dataValidation sqref="H13" showDropDown="0" showInputMessage="0" showErrorMessage="1" allowBlank="1" type="list">
      <formula1>NonCompliance</formula1>
    </dataValidation>
    <dataValidation sqref="H14" showDropDown="0" showInputMessage="0" showErrorMessage="1" allowBlank="1" type="list">
      <formula1>PolicyViolation</formula1>
    </dataValidation>
    <dataValidation sqref="H11" showDropDown="0" showInputMessage="0" showErrorMessage="1" allowBlank="1" type="list">
      <formula1>FinancialDamage</formula1>
    </dataValidation>
    <dataValidation sqref="C11" showDropDown="0" showInputMessage="0" showErrorMessage="1" allowBlank="1" type="list">
      <formula1>EasyofDiscovery</formula1>
    </dataValidation>
    <dataValidation sqref="C6" showDropDown="0" showInputMessage="0" showErrorMessage="1" allowBlank="1" type="list">
      <formula1>Motive</formula1>
    </dataValidation>
    <dataValidation sqref="H8" showDropDown="0" showInputMessage="0" showErrorMessage="1" allowBlank="1" type="list">
      <formula1>LossofAccountability</formula1>
    </dataValidation>
    <dataValidation sqref="C12" showDropDown="0" showInputMessage="0" showErrorMessage="1" allowBlank="1" type="list">
      <formula1>EaseofExploit</formula1>
    </dataValidation>
    <dataValidation sqref="C14" showDropDown="0" showInputMessage="0" showErrorMessage="1" allowBlank="1" type="list">
      <formula1>IntrusionDetection</formula1>
    </dataValidation>
    <dataValidation sqref="H12" showDropDown="0" showInputMessage="0" showErrorMessage="1" allowBlank="1" type="list">
      <formula1>ReputationDamage</formula1>
    </dataValidation>
    <dataValidation sqref="C5" showDropDown="0" showInputMessage="0" showErrorMessage="1" allowBlank="1" type="list">
      <formula1>SkillRequired</formula1>
    </dataValidation>
    <dataValidation sqref="C7" showDropDown="0" showInputMessage="0" showErrorMessage="1" allowBlank="1" type="list">
      <formula1>Opportunity</formula1>
    </dataValidation>
    <dataValidation sqref="C8" showDropDown="0" showInputMessage="0" showErrorMessage="1" allowBlank="1" type="list">
      <formula1>PopulationSize</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10" defaultColWidth="12.6640625" defaultRowHeight="15.75" customHeight="1"/>
  <cols>
    <col width="39" customWidth="1" style="82" min="1" max="1"/>
    <col width="2" customWidth="1" style="82" min="2" max="2"/>
    <col width="32.6640625" customWidth="1" style="82" min="3" max="3"/>
    <col width="2" customWidth="1" style="82" min="4" max="4"/>
    <col width="43.1640625" customWidth="1" style="82" min="5" max="5"/>
    <col width="2" customWidth="1" style="82" min="6" max="6"/>
    <col width="38.33203125" customWidth="1" style="82" min="7" max="7"/>
    <col width="2" customWidth="1" style="82" min="8" max="8"/>
    <col width="38.33203125" customWidth="1" style="82" min="9" max="9"/>
    <col width="2" customWidth="1" style="82" min="10" max="10"/>
    <col width="27.6640625" customWidth="1" style="82" min="11" max="11"/>
    <col width="2" customWidth="1" style="82" min="12" max="12"/>
    <col width="23" customWidth="1" style="82" min="13" max="13"/>
    <col width="2" customWidth="1" style="82" min="14" max="14"/>
    <col width="31.33203125" customWidth="1" style="82" min="15" max="15"/>
    <col width="2" customWidth="1" style="82" min="16" max="16"/>
  </cols>
  <sheetData>
    <row r="1" ht="23.25" customHeight="1" s="82">
      <c r="A1" s="72" t="inlineStr">
        <is>
          <t>Skills required</t>
        </is>
      </c>
      <c r="B1" s="73" t="n"/>
      <c r="C1" s="72" t="inlineStr">
        <is>
          <t>Motive</t>
        </is>
      </c>
      <c r="D1" s="73" t="n"/>
      <c r="E1" s="72" t="inlineStr">
        <is>
          <t>Opportunity</t>
        </is>
      </c>
      <c r="F1" s="73" t="n"/>
      <c r="G1" s="72" t="inlineStr">
        <is>
          <t>Population Size</t>
        </is>
      </c>
      <c r="H1" s="73" t="n"/>
      <c r="I1" s="72" t="inlineStr">
        <is>
          <t>Easy of Discovery</t>
        </is>
      </c>
      <c r="J1" s="73" t="n"/>
      <c r="K1" s="72" t="inlineStr">
        <is>
          <t>Ease of Exploit</t>
        </is>
      </c>
      <c r="L1" s="73" t="n"/>
      <c r="M1" s="72" t="inlineStr">
        <is>
          <t>Awareness</t>
        </is>
      </c>
      <c r="N1" s="73" t="n"/>
      <c r="O1" s="72" t="inlineStr">
        <is>
          <t>Intrusion Detection</t>
        </is>
      </c>
      <c r="P1" s="73" t="n"/>
    </row>
    <row r="2" ht="12.75" customHeight="1" s="82">
      <c r="A2" s="73" t="inlineStr">
        <is>
          <t>Select an option</t>
        </is>
      </c>
      <c r="B2" s="73" t="inlineStr">
        <is>
          <t> </t>
        </is>
      </c>
      <c r="C2" s="73" t="inlineStr">
        <is>
          <t>Select an option</t>
        </is>
      </c>
      <c r="D2" s="73" t="inlineStr">
        <is>
          <t> </t>
        </is>
      </c>
      <c r="E2" s="73" t="inlineStr">
        <is>
          <t>Select an option</t>
        </is>
      </c>
      <c r="F2" s="73" t="inlineStr">
        <is>
          <t> </t>
        </is>
      </c>
      <c r="G2" s="73" t="inlineStr">
        <is>
          <t>Select an option</t>
        </is>
      </c>
      <c r="H2" s="73" t="inlineStr">
        <is>
          <t> </t>
        </is>
      </c>
      <c r="I2" s="73" t="inlineStr">
        <is>
          <t>Select an option</t>
        </is>
      </c>
      <c r="J2" s="73" t="inlineStr">
        <is>
          <t> </t>
        </is>
      </c>
      <c r="K2" s="73" t="inlineStr">
        <is>
          <t>Select an option</t>
        </is>
      </c>
      <c r="L2" s="73" t="inlineStr">
        <is>
          <t> </t>
        </is>
      </c>
      <c r="M2" s="73" t="inlineStr">
        <is>
          <t>Select an option</t>
        </is>
      </c>
      <c r="N2" s="73" t="inlineStr">
        <is>
          <t> </t>
        </is>
      </c>
      <c r="O2" s="73" t="inlineStr">
        <is>
          <t>Select an option</t>
        </is>
      </c>
      <c r="P2" s="73" t="inlineStr">
        <is>
          <t> </t>
        </is>
      </c>
    </row>
    <row r="3" ht="12.75" customHeight="1" s="82">
      <c r="A3" s="73" t="inlineStr">
        <is>
          <t>Not Applicable [0]</t>
        </is>
      </c>
      <c r="B3" s="73" t="n">
        <v>0</v>
      </c>
      <c r="C3" s="73" t="inlineStr">
        <is>
          <t>Not Applicable [0]</t>
        </is>
      </c>
      <c r="D3" s="73" t="n">
        <v>0</v>
      </c>
      <c r="E3" s="73" t="inlineStr">
        <is>
          <t>Full access or expensive resources required [0]</t>
        </is>
      </c>
      <c r="F3" s="73" t="n">
        <v>0</v>
      </c>
      <c r="G3" s="73" t="inlineStr">
        <is>
          <t>Not Applicable [0]</t>
        </is>
      </c>
      <c r="H3" s="73" t="n">
        <v>0</v>
      </c>
      <c r="I3" s="73" t="inlineStr">
        <is>
          <t>Not Applicable [0]</t>
        </is>
      </c>
      <c r="J3" s="73" t="n">
        <v>0</v>
      </c>
      <c r="K3" s="73" t="inlineStr">
        <is>
          <t>Not Applicable [0]</t>
        </is>
      </c>
      <c r="L3" s="73" t="n">
        <v>0</v>
      </c>
      <c r="M3" s="73" t="inlineStr">
        <is>
          <t>Not Applicable [0]</t>
        </is>
      </c>
      <c r="N3" s="73" t="n">
        <v>0</v>
      </c>
      <c r="O3" s="73" t="inlineStr">
        <is>
          <t>Not Applicable [0]</t>
        </is>
      </c>
      <c r="P3" s="73" t="n">
        <v>0</v>
      </c>
    </row>
    <row r="4" ht="12.75" customHeight="1" s="82">
      <c r="A4" s="73" t="inlineStr">
        <is>
          <t>No technical skills [1]</t>
        </is>
      </c>
      <c r="B4" s="73" t="n">
        <v>1</v>
      </c>
      <c r="C4" s="73" t="inlineStr">
        <is>
          <t>Low or no reward [1]</t>
        </is>
      </c>
      <c r="D4" s="73" t="n">
        <v>1</v>
      </c>
      <c r="E4" s="73" t="inlineStr">
        <is>
          <t>Special access or resources required [4]</t>
        </is>
      </c>
      <c r="F4" s="73" t="n">
        <v>4</v>
      </c>
      <c r="G4" s="73" t="inlineStr">
        <is>
          <t>System Administrators [2]</t>
        </is>
      </c>
      <c r="H4" s="73" t="n">
        <v>2</v>
      </c>
      <c r="I4" s="73" t="inlineStr">
        <is>
          <t>Practically impossible [1]</t>
        </is>
      </c>
      <c r="J4" s="73" t="n">
        <v>1</v>
      </c>
      <c r="K4" s="73" t="inlineStr">
        <is>
          <t>Theoretical [1]</t>
        </is>
      </c>
      <c r="L4" s="73" t="n">
        <v>1</v>
      </c>
      <c r="M4" s="73" t="inlineStr">
        <is>
          <t>Unknown [1]</t>
        </is>
      </c>
      <c r="N4" s="73" t="n">
        <v>1</v>
      </c>
      <c r="O4" s="73" t="inlineStr">
        <is>
          <t>Active detection in application [1]</t>
        </is>
      </c>
      <c r="P4" s="73" t="n">
        <v>1</v>
      </c>
    </row>
    <row r="5" ht="12.75" customHeight="1" s="82">
      <c r="A5" s="73" t="inlineStr">
        <is>
          <t>Some technical skills [3]</t>
        </is>
      </c>
      <c r="B5" s="73" t="n">
        <v>3</v>
      </c>
      <c r="C5" s="73" t="inlineStr">
        <is>
          <t>Possible reward [4]</t>
        </is>
      </c>
      <c r="D5" s="73" t="n">
        <v>4</v>
      </c>
      <c r="E5" s="73" t="inlineStr">
        <is>
          <t>Some access or resources required [7]</t>
        </is>
      </c>
      <c r="F5" s="73" t="n">
        <v>7</v>
      </c>
      <c r="G5" s="73" t="inlineStr">
        <is>
          <t>Intranet Users [4]</t>
        </is>
      </c>
      <c r="H5" s="73" t="n">
        <v>4</v>
      </c>
      <c r="I5" s="73" t="inlineStr">
        <is>
          <t>Difficult [3]</t>
        </is>
      </c>
      <c r="J5" s="73" t="n">
        <v>3</v>
      </c>
      <c r="K5" s="73" t="inlineStr">
        <is>
          <t>Difficult [3]</t>
        </is>
      </c>
      <c r="L5" s="73" t="n">
        <v>3</v>
      </c>
      <c r="M5" s="73" t="inlineStr">
        <is>
          <t>Hidden [4]</t>
        </is>
      </c>
      <c r="N5" s="73" t="n">
        <v>4</v>
      </c>
      <c r="O5" s="73" t="inlineStr">
        <is>
          <t>Logged and reviewed [3]</t>
        </is>
      </c>
      <c r="P5" s="73" t="n">
        <v>3</v>
      </c>
    </row>
    <row r="6" ht="12.75" customHeight="1" s="82">
      <c r="A6" s="73" t="inlineStr">
        <is>
          <t>Advanced computer user [5]</t>
        </is>
      </c>
      <c r="B6" s="73" t="n">
        <v>5</v>
      </c>
      <c r="C6" s="73" t="inlineStr">
        <is>
          <t>High reward [9]</t>
        </is>
      </c>
      <c r="D6" s="73" t="n">
        <v>9</v>
      </c>
      <c r="E6" s="73" t="inlineStr">
        <is>
          <t>No access or resources required [9]</t>
        </is>
      </c>
      <c r="F6" s="73" t="n">
        <v>9</v>
      </c>
      <c r="G6" s="73" t="inlineStr">
        <is>
          <t>Partners [5]</t>
        </is>
      </c>
      <c r="H6" s="73" t="n">
        <v>5</v>
      </c>
      <c r="I6" s="73" t="inlineStr">
        <is>
          <t>Easy [7]</t>
        </is>
      </c>
      <c r="J6" s="73" t="n">
        <v>7</v>
      </c>
      <c r="K6" s="73" t="inlineStr">
        <is>
          <t>Easy [5]</t>
        </is>
      </c>
      <c r="L6" s="73" t="n">
        <v>5</v>
      </c>
      <c r="M6" s="73" t="inlineStr">
        <is>
          <t>Obvious [6]</t>
        </is>
      </c>
      <c r="N6" s="73" t="n">
        <v>6</v>
      </c>
      <c r="O6" s="73" t="inlineStr">
        <is>
          <t>Logged without review [8]</t>
        </is>
      </c>
      <c r="P6" s="73" t="n">
        <v>8</v>
      </c>
    </row>
    <row r="7" ht="12.75" customHeight="1" s="82">
      <c r="A7" s="73" t="inlineStr">
        <is>
          <t>Network and programming skills [6]</t>
        </is>
      </c>
      <c r="B7" s="73" t="n">
        <v>6</v>
      </c>
      <c r="C7" s="73" t="n"/>
      <c r="D7" s="73" t="n"/>
      <c r="E7" s="73" t="n"/>
      <c r="F7" s="73" t="n"/>
      <c r="G7" s="73" t="inlineStr">
        <is>
          <t>Authenticated users [6]</t>
        </is>
      </c>
      <c r="H7" s="73" t="n">
        <v>6</v>
      </c>
      <c r="I7" s="73" t="inlineStr">
        <is>
          <t>Automated tools available [9]</t>
        </is>
      </c>
      <c r="J7" s="73" t="n">
        <v>9</v>
      </c>
      <c r="K7" s="73" t="inlineStr">
        <is>
          <t>Automated tools available [9]</t>
        </is>
      </c>
      <c r="L7" s="73" t="n">
        <v>9</v>
      </c>
      <c r="M7" s="73" t="inlineStr">
        <is>
          <t>Public knowledge [9]</t>
        </is>
      </c>
      <c r="N7" s="73" t="n">
        <v>9</v>
      </c>
      <c r="O7" s="73" t="inlineStr">
        <is>
          <t>Not logged [9]</t>
        </is>
      </c>
      <c r="P7" s="73" t="n">
        <v>9</v>
      </c>
    </row>
    <row r="8" ht="12.75" customHeight="1" s="82">
      <c r="A8" s="73" t="inlineStr">
        <is>
          <t>Security penetration skills [9]</t>
        </is>
      </c>
      <c r="B8" s="73" t="n">
        <v>9</v>
      </c>
      <c r="C8" s="73" t="n"/>
      <c r="D8" s="73" t="n"/>
      <c r="E8" s="73" t="n"/>
      <c r="F8" s="73" t="n"/>
      <c r="G8" s="73" t="inlineStr">
        <is>
          <t>Anonymous Internet users [9]</t>
        </is>
      </c>
      <c r="H8" s="73" t="n">
        <v>9</v>
      </c>
      <c r="I8" s="73" t="n"/>
      <c r="J8" s="73" t="n"/>
      <c r="K8" s="73" t="n"/>
      <c r="L8" s="73" t="n"/>
      <c r="M8" s="73" t="n"/>
      <c r="N8" s="73" t="n"/>
      <c r="O8" s="73" t="n"/>
      <c r="P8" s="73" t="n"/>
    </row>
    <row r="9" ht="12.75" customHeight="1" s="82"/>
    <row r="10" ht="26.25" customHeight="1" s="82">
      <c r="A10" s="72" t="inlineStr">
        <is>
          <t>Loss of confidentiality</t>
        </is>
      </c>
      <c r="B10" s="72" t="n"/>
      <c r="C10" s="72" t="inlineStr">
        <is>
          <t>Loss of Integrity</t>
        </is>
      </c>
      <c r="D10" s="72" t="n"/>
      <c r="E10" s="72" t="inlineStr">
        <is>
          <t>Loss of Availability</t>
        </is>
      </c>
      <c r="F10" s="72" t="n"/>
      <c r="G10" s="72" t="inlineStr">
        <is>
          <t>Loss of Accountability</t>
        </is>
      </c>
      <c r="H10" s="72" t="n"/>
      <c r="I10" s="72" t="inlineStr">
        <is>
          <t>Financial damage</t>
        </is>
      </c>
      <c r="J10" s="72" t="n"/>
      <c r="K10" s="72" t="inlineStr">
        <is>
          <t>Reputation damage</t>
        </is>
      </c>
      <c r="L10" s="72" t="n"/>
      <c r="M10" s="72" t="inlineStr">
        <is>
          <t>Non-Compliance</t>
        </is>
      </c>
      <c r="N10" s="72" t="n"/>
      <c r="O10" s="72" t="inlineStr">
        <is>
          <t>Privacy violation</t>
        </is>
      </c>
      <c r="P10" s="57" t="n"/>
    </row>
    <row r="11" ht="12.75" customHeight="1" s="82">
      <c r="A11" s="73" t="inlineStr">
        <is>
          <t>Select an option</t>
        </is>
      </c>
      <c r="B11" s="73" t="inlineStr">
        <is>
          <t> </t>
        </is>
      </c>
      <c r="C11" s="73" t="inlineStr">
        <is>
          <t>Select an option</t>
        </is>
      </c>
      <c r="D11" s="73" t="inlineStr">
        <is>
          <t> </t>
        </is>
      </c>
      <c r="E11" s="73" t="inlineStr">
        <is>
          <t>Select an option</t>
        </is>
      </c>
      <c r="F11" s="73" t="inlineStr">
        <is>
          <t> </t>
        </is>
      </c>
      <c r="G11" s="73" t="inlineStr">
        <is>
          <t>Select an option</t>
        </is>
      </c>
      <c r="H11" s="73" t="inlineStr">
        <is>
          <t> </t>
        </is>
      </c>
      <c r="I11" s="73" t="inlineStr">
        <is>
          <t>Select an option</t>
        </is>
      </c>
      <c r="J11" s="73" t="inlineStr">
        <is>
          <t> </t>
        </is>
      </c>
      <c r="K11" s="73" t="inlineStr">
        <is>
          <t>Select an option</t>
        </is>
      </c>
      <c r="L11" s="73" t="inlineStr">
        <is>
          <t> </t>
        </is>
      </c>
      <c r="M11" s="73" t="inlineStr">
        <is>
          <t>Select an option</t>
        </is>
      </c>
      <c r="N11" s="73" t="inlineStr">
        <is>
          <t> </t>
        </is>
      </c>
      <c r="O11" s="73" t="inlineStr">
        <is>
          <t>Select an option</t>
        </is>
      </c>
      <c r="P11" s="73" t="inlineStr">
        <is>
          <t> </t>
        </is>
      </c>
    </row>
    <row r="12" ht="12.75" customHeight="1" s="82">
      <c r="A12" s="73" t="inlineStr">
        <is>
          <t>Not Applicable [0]</t>
        </is>
      </c>
      <c r="B12" s="73" t="n">
        <v>0</v>
      </c>
      <c r="C12" s="73" t="inlineStr">
        <is>
          <t>Not Applicable [0]</t>
        </is>
      </c>
      <c r="D12" s="73" t="n">
        <v>0</v>
      </c>
      <c r="E12" s="73" t="inlineStr">
        <is>
          <t>Not Applicable [0]</t>
        </is>
      </c>
      <c r="F12" s="73" t="n">
        <v>0</v>
      </c>
      <c r="G12" s="73" t="inlineStr">
        <is>
          <t>Not Applicable [0]</t>
        </is>
      </c>
      <c r="H12" s="73" t="n">
        <v>0</v>
      </c>
      <c r="I12" s="73" t="inlineStr">
        <is>
          <t>Not Applicable [0]</t>
        </is>
      </c>
      <c r="J12" s="73" t="n">
        <v>0</v>
      </c>
      <c r="K12" s="73" t="inlineStr">
        <is>
          <t>Not Applicable [0]</t>
        </is>
      </c>
      <c r="L12" s="73" t="n">
        <v>0</v>
      </c>
      <c r="M12" s="73" t="inlineStr">
        <is>
          <t>Not Applicable [0]</t>
        </is>
      </c>
      <c r="N12" s="73" t="n">
        <v>0</v>
      </c>
      <c r="O12" s="73" t="inlineStr">
        <is>
          <t>Not Applicable [0]</t>
        </is>
      </c>
      <c r="P12" s="73" t="n">
        <v>0</v>
      </c>
    </row>
    <row r="13" ht="12.75" customHeight="1" s="82">
      <c r="A13" s="73" t="inlineStr">
        <is>
          <t>Minimal non-sensitive data disclosed [2]</t>
        </is>
      </c>
      <c r="B13" s="73" t="n">
        <v>2</v>
      </c>
      <c r="C13" s="73" t="inlineStr">
        <is>
          <t>Minimal slightly corrupt data [1]</t>
        </is>
      </c>
      <c r="D13" s="73" t="n">
        <v>1</v>
      </c>
      <c r="E13" s="73" t="inlineStr">
        <is>
          <t>Minimal secondary services interrupted [1]</t>
        </is>
      </c>
      <c r="F13" s="73" t="n">
        <v>1</v>
      </c>
      <c r="G13" s="73" t="inlineStr">
        <is>
          <t>Attack fully traceable to individual [1]</t>
        </is>
      </c>
      <c r="H13" s="73" t="n">
        <v>1</v>
      </c>
      <c r="I13" s="73" t="inlineStr">
        <is>
          <t>Damage costs less than to fix the issue [1]</t>
        </is>
      </c>
      <c r="J13" s="73" t="n">
        <v>1</v>
      </c>
      <c r="K13" s="73" t="inlineStr">
        <is>
          <t>Minimal damage [1]</t>
        </is>
      </c>
      <c r="L13" s="73" t="n">
        <v>1</v>
      </c>
      <c r="M13" s="73" t="inlineStr">
        <is>
          <t>Minor violation [2]</t>
        </is>
      </c>
      <c r="N13" s="73" t="n">
        <v>2</v>
      </c>
      <c r="O13" s="73" t="inlineStr">
        <is>
          <t>One individual [3]</t>
        </is>
      </c>
      <c r="P13" s="42" t="n">
        <v>3</v>
      </c>
    </row>
    <row r="14" ht="12.75" customHeight="1" s="82">
      <c r="A14" s="73" t="inlineStr">
        <is>
          <t>Extensive non-sensitive data disclosed [6]</t>
        </is>
      </c>
      <c r="B14" s="73" t="n">
        <v>6</v>
      </c>
      <c r="C14" s="73" t="inlineStr">
        <is>
          <t>Minimal seriously corrupt data [3]</t>
        </is>
      </c>
      <c r="D14" s="73" t="n">
        <v>3</v>
      </c>
      <c r="E14" s="73" t="inlineStr">
        <is>
          <t>Minimal primary services interrupted [5]</t>
        </is>
      </c>
      <c r="F14" s="73" t="n">
        <v>5</v>
      </c>
      <c r="G14" s="73" t="inlineStr">
        <is>
          <t>Attack possibly traceable to individual [7]</t>
        </is>
      </c>
      <c r="H14" s="73" t="n">
        <v>7</v>
      </c>
      <c r="I14" s="73" t="inlineStr">
        <is>
          <t>Minor effect on annual profit [3]</t>
        </is>
      </c>
      <c r="J14" s="73" t="n">
        <v>3</v>
      </c>
      <c r="K14" s="73" t="inlineStr">
        <is>
          <t>Loss of major accounts [4]</t>
        </is>
      </c>
      <c r="L14" s="73" t="n">
        <v>4</v>
      </c>
      <c r="M14" s="73" t="inlineStr">
        <is>
          <t>Clear violation [5]</t>
        </is>
      </c>
      <c r="N14" s="73" t="n">
        <v>5</v>
      </c>
      <c r="O14" s="73" t="inlineStr">
        <is>
          <t>Hundreds of people [5]</t>
        </is>
      </c>
      <c r="P14" s="42" t="n">
        <v>5</v>
      </c>
    </row>
    <row r="15" ht="12.75" customHeight="1" s="82">
      <c r="A15" s="73" t="inlineStr">
        <is>
          <t>Extensive critical data disclosed [7]</t>
        </is>
      </c>
      <c r="B15" s="73" t="n">
        <v>7</v>
      </c>
      <c r="C15" s="73" t="inlineStr">
        <is>
          <t>Extensive slightly corrupt data [5]</t>
        </is>
      </c>
      <c r="D15" s="73" t="n">
        <v>5</v>
      </c>
      <c r="E15" s="73" t="inlineStr">
        <is>
          <t>Extensive primary services interrupted [7]</t>
        </is>
      </c>
      <c r="F15" s="73" t="n">
        <v>7</v>
      </c>
      <c r="G15" s="73" t="inlineStr">
        <is>
          <t>Attack completely anonymous [9]</t>
        </is>
      </c>
      <c r="H15" s="73" t="n">
        <v>9</v>
      </c>
      <c r="I15" s="73" t="inlineStr">
        <is>
          <t>Significant effect on annual profit [7]</t>
        </is>
      </c>
      <c r="J15" s="73" t="n">
        <v>7</v>
      </c>
      <c r="K15" s="73" t="inlineStr">
        <is>
          <t>Loss of goodwill [5]</t>
        </is>
      </c>
      <c r="L15" s="73" t="n">
        <v>5</v>
      </c>
      <c r="M15" s="73" t="inlineStr">
        <is>
          <t>High profile violation [7]</t>
        </is>
      </c>
      <c r="N15" s="73" t="n">
        <v>7</v>
      </c>
      <c r="O15" s="73" t="inlineStr">
        <is>
          <t>Thousands of people [7]</t>
        </is>
      </c>
      <c r="P15" s="42" t="n">
        <v>7</v>
      </c>
    </row>
    <row r="16" ht="12.75" customHeight="1" s="82">
      <c r="A16" s="73" t="inlineStr">
        <is>
          <t>All data disclosed [9]</t>
        </is>
      </c>
      <c r="B16" s="73" t="n">
        <v>9</v>
      </c>
      <c r="C16" s="73" t="inlineStr">
        <is>
          <t>Extensive seriously corrupt data [7]</t>
        </is>
      </c>
      <c r="D16" s="73" t="n">
        <v>7</v>
      </c>
      <c r="E16" s="73" t="inlineStr">
        <is>
          <t>All services completely lost [9]</t>
        </is>
      </c>
      <c r="F16" s="73" t="n">
        <v>9</v>
      </c>
      <c r="G16" s="73" t="n"/>
      <c r="H16" s="73" t="n"/>
      <c r="I16" s="73" t="inlineStr">
        <is>
          <t>Backruptcy [9]</t>
        </is>
      </c>
      <c r="J16" s="73" t="n">
        <v>9</v>
      </c>
      <c r="K16" s="73" t="inlineStr">
        <is>
          <t>Brand damage [9]</t>
        </is>
      </c>
      <c r="L16" s="73" t="n">
        <v>9</v>
      </c>
      <c r="M16" s="73" t="n"/>
      <c r="N16" s="73" t="n"/>
      <c r="O16" s="73" t="inlineStr">
        <is>
          <t>Millions of people [9]</t>
        </is>
      </c>
      <c r="P16" s="42" t="n">
        <v>9</v>
      </c>
    </row>
    <row r="17" ht="12.75" customHeight="1" s="82">
      <c r="A17" s="73" t="n"/>
      <c r="B17" s="73" t="n"/>
      <c r="C17" s="73" t="inlineStr">
        <is>
          <t>All data totally corrupt [9]</t>
        </is>
      </c>
      <c r="D17" s="73" t="n">
        <v>9</v>
      </c>
      <c r="E17" s="73" t="n"/>
      <c r="F17" s="73" t="n"/>
      <c r="G17" s="73" t="n"/>
      <c r="H17" s="73" t="n"/>
      <c r="I17" s="73" t="n"/>
      <c r="J17" s="73" t="n"/>
      <c r="K17" s="73" t="n"/>
      <c r="L17" s="73" t="n"/>
      <c r="M17" s="73" t="n"/>
      <c r="N17" s="73" t="n"/>
      <c r="O17" s="73" t="n"/>
    </row>
    <row r="18" ht="12.75" customHeight="1" s="82"/>
    <row r="19" ht="12.75" customHeight="1" s="82"/>
    <row r="20" ht="12.75" customHeight="1" s="82"/>
    <row r="21" ht="12.75" customHeight="1" s="82"/>
    <row r="22" ht="12.75" customHeight="1" s="82"/>
    <row r="23" ht="12.75" customHeight="1" s="82"/>
    <row r="24" ht="12.75" customHeight="1" s="82"/>
    <row r="25" ht="12.75" customHeight="1" s="82"/>
    <row r="26" ht="12.75" customHeight="1" s="82"/>
    <row r="27" ht="12.75" customHeight="1" s="82"/>
    <row r="28" ht="12.75" customHeight="1" s="82"/>
    <row r="29" ht="12.75" customHeight="1" s="82"/>
    <row r="30" ht="12.75" customHeight="1" s="82"/>
    <row r="31" ht="12.75" customHeight="1" s="82"/>
    <row r="32" ht="12.75" customHeight="1" s="82"/>
    <row r="33" ht="12.75" customHeight="1" s="82"/>
    <row r="34" ht="12.75" customHeight="1" s="82"/>
    <row r="35" ht="12.75" customHeight="1" s="82"/>
    <row r="36" ht="12.75" customHeight="1" s="82"/>
    <row r="37" ht="12.75" customHeight="1" s="82"/>
    <row r="38" ht="12.75" customHeight="1" s="82"/>
    <row r="39" ht="12.75" customHeight="1" s="82"/>
    <row r="40" ht="12.75" customHeight="1" s="82"/>
    <row r="41" ht="12.75" customHeight="1" s="82"/>
    <row r="42" ht="12.75" customHeight="1" s="82"/>
    <row r="43" ht="12.75" customHeight="1" s="82"/>
    <row r="44" ht="12.75" customHeight="1" s="82"/>
    <row r="45" ht="12.75" customHeight="1" s="82"/>
    <row r="46" ht="12.75" customHeight="1" s="82"/>
    <row r="47" ht="12.75" customHeight="1" s="82"/>
    <row r="48" ht="12.75" customHeight="1" s="82"/>
    <row r="49" ht="12.75" customHeight="1" s="82"/>
    <row r="50" ht="12.75" customHeight="1" s="82"/>
    <row r="51" ht="12.75" customHeight="1" s="82"/>
    <row r="52" ht="12.75" customHeight="1" s="82"/>
    <row r="53" ht="12.75" customHeight="1" s="82"/>
    <row r="54" ht="12.75" customHeight="1" s="82"/>
    <row r="55" ht="12.75" customHeight="1" s="82"/>
    <row r="56" ht="12.75" customHeight="1" s="82"/>
    <row r="57" ht="12.75" customHeight="1" s="82"/>
    <row r="58" ht="12.75" customHeight="1" s="82"/>
    <row r="59" ht="12.75" customHeight="1" s="82"/>
    <row r="60" ht="12.75" customHeight="1" s="82"/>
    <row r="61" ht="12.75" customHeight="1" s="82"/>
    <row r="62" ht="12.75" customHeight="1" s="82"/>
    <row r="63" ht="12.75" customHeight="1" s="82"/>
    <row r="64" ht="12.75" customHeight="1" s="82"/>
    <row r="65" ht="12.75" customHeight="1" s="82"/>
    <row r="66" ht="12.75" customHeight="1" s="82"/>
    <row r="67" ht="12.75" customHeight="1" s="82"/>
    <row r="68" ht="12.75" customHeight="1" s="82"/>
    <row r="69" ht="12.75" customHeight="1" s="82"/>
    <row r="70" ht="12.75" customHeight="1" s="82"/>
    <row r="71" ht="12.75" customHeight="1" s="82"/>
    <row r="72" ht="12.75" customHeight="1" s="82"/>
    <row r="73" ht="12.75" customHeight="1" s="82"/>
    <row r="74" ht="12.75" customHeight="1" s="82"/>
    <row r="75" ht="12.75" customHeight="1" s="82"/>
    <row r="76" ht="12.75" customHeight="1" s="82"/>
    <row r="77" ht="12.75" customHeight="1" s="82"/>
    <row r="78" ht="12.75" customHeight="1" s="82"/>
    <row r="79" ht="12.75" customHeight="1" s="82"/>
    <row r="80" ht="12.75" customHeight="1" s="82"/>
    <row r="81" ht="12.75" customHeight="1" s="82"/>
    <row r="82" ht="12.75" customHeight="1" s="82"/>
    <row r="83" ht="12.75" customHeight="1" s="82"/>
    <row r="84" ht="12.75" customHeight="1" s="82"/>
    <row r="85" ht="12.75" customHeight="1" s="82"/>
    <row r="86" ht="12.75" customHeight="1" s="82"/>
    <row r="87" ht="12.75" customHeight="1" s="82"/>
    <row r="88" ht="12.75" customHeight="1" s="82"/>
    <row r="89" ht="12.75" customHeight="1" s="82"/>
    <row r="90" ht="12.75" customHeight="1" s="82"/>
    <row r="91" ht="12.75" customHeight="1" s="82"/>
    <row r="92" ht="12.75" customHeight="1" s="82"/>
    <row r="93" ht="12.75" customHeight="1" s="82"/>
    <row r="94" ht="12.75" customHeight="1" s="82"/>
    <row r="95" ht="12.75" customHeight="1" s="82"/>
    <row r="96" ht="12.75" customHeight="1" s="82"/>
    <row r="97" ht="12.75" customHeight="1" s="82"/>
    <row r="98" ht="12.75" customHeight="1" s="82"/>
    <row r="99" ht="12.75" customHeight="1" s="82"/>
    <row r="100" ht="12.75" customHeight="1" s="82"/>
    <row r="101" ht="12.75" customHeight="1" s="82"/>
    <row r="102" ht="12.75" customHeight="1" s="82"/>
    <row r="103" ht="12.75" customHeight="1" s="82"/>
    <row r="104" ht="12.75" customHeight="1" s="82"/>
    <row r="105" ht="12.75" customHeight="1" s="82"/>
    <row r="106" ht="12.75" customHeight="1" s="82"/>
    <row r="107" ht="12.75" customHeight="1" s="82"/>
    <row r="108" ht="12.75" customHeight="1" s="82"/>
    <row r="109" ht="12.75" customHeight="1" s="82"/>
    <row r="110" ht="12.75" customHeight="1" s="82"/>
    <row r="111" ht="12.75" customHeight="1" s="82"/>
    <row r="112" ht="12.75" customHeight="1" s="82"/>
    <row r="113" ht="12.75" customHeight="1" s="82"/>
    <row r="114" ht="12.75" customHeight="1" s="82"/>
    <row r="115" ht="12.75" customHeight="1" s="82"/>
    <row r="116" ht="12.75" customHeight="1" s="82"/>
    <row r="117" ht="12.75" customHeight="1" s="82"/>
    <row r="118" ht="12.75" customHeight="1" s="82"/>
    <row r="119" ht="12.75" customHeight="1" s="82"/>
    <row r="120" ht="12.75" customHeight="1" s="82"/>
    <row r="121" ht="12.75" customHeight="1" s="82"/>
    <row r="122" ht="12.75" customHeight="1" s="82"/>
    <row r="123" ht="12.75" customHeight="1" s="82"/>
    <row r="124" ht="12.75" customHeight="1" s="82"/>
    <row r="125" ht="12.75" customHeight="1" s="82"/>
    <row r="126" ht="12.75" customHeight="1" s="82"/>
    <row r="127" ht="12.75" customHeight="1" s="82"/>
    <row r="128" ht="12.75" customHeight="1" s="82"/>
    <row r="129" ht="12.75" customHeight="1" s="82"/>
    <row r="130" ht="12.75" customHeight="1" s="82"/>
    <row r="131" ht="12.75" customHeight="1" s="82"/>
    <row r="132" ht="12.75" customHeight="1" s="82"/>
    <row r="133" ht="12.75" customHeight="1" s="82"/>
    <row r="134" ht="12.75" customHeight="1" s="82"/>
    <row r="135" ht="12.75" customHeight="1" s="82"/>
    <row r="136" ht="12.75" customHeight="1" s="82"/>
    <row r="137" ht="12.75" customHeight="1" s="82"/>
    <row r="138" ht="12.75" customHeight="1" s="82"/>
    <row r="139" ht="12.75" customHeight="1" s="82"/>
    <row r="140" ht="12.75" customHeight="1" s="82"/>
    <row r="141" ht="12.75" customHeight="1" s="82"/>
    <row r="142" ht="12.75" customHeight="1" s="82"/>
    <row r="143" ht="12.75" customHeight="1" s="82"/>
    <row r="144" ht="12.75" customHeight="1" s="82"/>
    <row r="145" ht="12.75" customHeight="1" s="82"/>
    <row r="146" ht="12.75" customHeight="1" s="82"/>
    <row r="147" ht="12.75" customHeight="1" s="82"/>
    <row r="148" ht="12.75" customHeight="1" s="82"/>
    <row r="149" ht="12.75" customHeight="1" s="82"/>
    <row r="150" ht="12.75" customHeight="1" s="82"/>
    <row r="151" ht="12.75" customHeight="1" s="82"/>
    <row r="152" ht="12.75" customHeight="1" s="82"/>
    <row r="153" ht="12.75" customHeight="1" s="82"/>
    <row r="154" ht="12.75" customHeight="1" s="82"/>
    <row r="155" ht="12.75" customHeight="1" s="82"/>
    <row r="156" ht="12.75" customHeight="1" s="82"/>
    <row r="157" ht="12.75" customHeight="1" s="82"/>
    <row r="158" ht="12.75" customHeight="1" s="82"/>
    <row r="159" ht="12.75" customHeight="1" s="82"/>
    <row r="160" ht="12.75" customHeight="1" s="82"/>
    <row r="161" ht="12.75" customHeight="1" s="82"/>
    <row r="162" ht="12.75" customHeight="1" s="82"/>
    <row r="163" ht="12.75" customHeight="1" s="82"/>
    <row r="164" ht="12.75" customHeight="1" s="82"/>
    <row r="165" ht="12.75" customHeight="1" s="82"/>
    <row r="166" ht="12.75" customHeight="1" s="82"/>
    <row r="167" ht="12.75" customHeight="1" s="82"/>
    <row r="168" ht="12.75" customHeight="1" s="82"/>
    <row r="169" ht="12.75" customHeight="1" s="82"/>
    <row r="170" ht="12.75" customHeight="1" s="82"/>
    <row r="171" ht="12.75" customHeight="1" s="82"/>
    <row r="172" ht="12.75" customHeight="1" s="82"/>
    <row r="173" ht="12.75" customHeight="1" s="82"/>
    <row r="174" ht="12.75" customHeight="1" s="82"/>
    <row r="175" ht="12.75" customHeight="1" s="82"/>
    <row r="176" ht="12.75" customHeight="1" s="82"/>
    <row r="177" ht="12.75" customHeight="1" s="82"/>
    <row r="178" ht="12.75" customHeight="1" s="82"/>
    <row r="179" ht="12.75" customHeight="1" s="82"/>
    <row r="180" ht="12.75" customHeight="1" s="82"/>
    <row r="181" ht="12.75" customHeight="1" s="82"/>
    <row r="182" ht="12.75" customHeight="1" s="82"/>
    <row r="183" ht="12.75" customHeight="1" s="82"/>
    <row r="184" ht="12.75" customHeight="1" s="82"/>
    <row r="185" ht="12.75" customHeight="1" s="82"/>
    <row r="186" ht="12.75" customHeight="1" s="82"/>
    <row r="187" ht="12.75" customHeight="1" s="82"/>
    <row r="188" ht="12.75" customHeight="1" s="82"/>
    <row r="189" ht="12.75" customHeight="1" s="82"/>
    <row r="190" ht="12.75" customHeight="1" s="82"/>
    <row r="191" ht="12.75" customHeight="1" s="82"/>
    <row r="192" ht="12.75" customHeight="1" s="82"/>
    <row r="193" ht="12.75" customHeight="1" s="82"/>
    <row r="194" ht="12.75" customHeight="1" s="82"/>
    <row r="195" ht="12.75" customHeight="1" s="82"/>
    <row r="196" ht="12.75" customHeight="1" s="82"/>
    <row r="197" ht="12.75" customHeight="1" s="82"/>
    <row r="198" ht="12.75" customHeight="1" s="82"/>
    <row r="199" ht="12.75" customHeight="1" s="82"/>
    <row r="200" ht="12.75" customHeight="1" s="82"/>
    <row r="201" ht="12.75" customHeight="1" s="82"/>
    <row r="202" ht="12.75" customHeight="1" s="82"/>
    <row r="203" ht="12.75" customHeight="1" s="82"/>
    <row r="204" ht="12.75" customHeight="1" s="82"/>
    <row r="205" ht="12.75" customHeight="1" s="82"/>
    <row r="206" ht="12.75" customHeight="1" s="82"/>
    <row r="207" ht="12.75" customHeight="1" s="82"/>
    <row r="208" ht="12.75" customHeight="1" s="82"/>
    <row r="209" ht="12.75" customHeight="1" s="82"/>
    <row r="210" ht="12.75" customHeight="1" s="82"/>
    <row r="211" ht="12.75" customHeight="1" s="82"/>
    <row r="212" ht="12.75" customHeight="1" s="82"/>
    <row r="213" ht="12.75" customHeight="1" s="82"/>
    <row r="214" ht="12.75" customHeight="1" s="82"/>
    <row r="215" ht="12.75" customHeight="1" s="82"/>
    <row r="216" ht="12.75" customHeight="1" s="82"/>
    <row r="217" ht="12.75" customHeight="1" s="82"/>
    <row r="218" ht="12.75" customHeight="1" s="82"/>
    <row r="219" ht="12.75" customHeight="1" s="82"/>
    <row r="220" ht="12.75" customHeight="1" s="82"/>
    <row r="221" ht="13" customHeight="1" s="82"/>
    <row r="222" ht="13" customHeight="1" s="82"/>
    <row r="223" ht="13" customHeight="1" s="82"/>
    <row r="224" ht="13" customHeight="1" s="82"/>
    <row r="225" ht="13" customHeight="1" s="82"/>
    <row r="226" ht="13" customHeight="1" s="82"/>
    <row r="227" ht="13" customHeight="1" s="82"/>
    <row r="228" ht="13" customHeight="1" s="82"/>
    <row r="229" ht="13" customHeight="1" s="82"/>
    <row r="230" ht="13" customHeight="1" s="82"/>
    <row r="231" ht="13" customHeight="1" s="82"/>
    <row r="232" ht="13" customHeight="1" s="82"/>
    <row r="233" ht="13" customHeight="1" s="82"/>
    <row r="234" ht="13" customHeight="1" s="82"/>
    <row r="235" ht="13" customHeight="1" s="82"/>
    <row r="236" ht="13" customHeight="1" s="82"/>
    <row r="237" ht="13" customHeight="1" s="82"/>
    <row r="238" ht="13" customHeight="1" s="82"/>
    <row r="239" ht="13" customHeight="1" s="82"/>
    <row r="240" ht="13" customHeight="1" s="82"/>
    <row r="241" ht="13" customHeight="1" s="82"/>
    <row r="242" ht="13" customHeight="1" s="82"/>
    <row r="243" ht="13" customHeight="1" s="82"/>
    <row r="244" ht="13" customHeight="1" s="82"/>
    <row r="245" ht="13" customHeight="1" s="82"/>
    <row r="246" ht="13" customHeight="1" s="82"/>
    <row r="247" ht="13" customHeight="1" s="82"/>
    <row r="248" ht="13" customHeight="1" s="82"/>
    <row r="249" ht="13" customHeight="1" s="82"/>
    <row r="250" ht="13" customHeight="1" s="82"/>
    <row r="251" ht="13" customHeight="1" s="82"/>
    <row r="252" ht="13" customHeight="1" s="82"/>
    <row r="253" ht="13" customHeight="1" s="82"/>
    <row r="254" ht="13" customHeight="1" s="82"/>
    <row r="255" ht="13" customHeight="1" s="82"/>
    <row r="256" ht="13" customHeight="1" s="82"/>
    <row r="257" ht="13" customHeight="1" s="82"/>
    <row r="258" ht="13" customHeight="1" s="82"/>
    <row r="259" ht="13" customHeight="1" s="82"/>
    <row r="260" ht="13" customHeight="1" s="82"/>
    <row r="261" ht="13" customHeight="1" s="82"/>
    <row r="262" ht="13" customHeight="1" s="82"/>
    <row r="263" ht="13" customHeight="1" s="82"/>
    <row r="264" ht="13" customHeight="1" s="82"/>
    <row r="265" ht="13" customHeight="1" s="82"/>
    <row r="266" ht="13" customHeight="1" s="82"/>
    <row r="267" ht="13" customHeight="1" s="82"/>
    <row r="268" ht="13" customHeight="1" s="82"/>
    <row r="269" ht="13" customHeight="1" s="82"/>
    <row r="270" ht="13" customHeight="1" s="82"/>
    <row r="271" ht="13" customHeight="1" s="82"/>
    <row r="272" ht="13" customHeight="1" s="82"/>
    <row r="273" ht="13" customHeight="1" s="82"/>
    <row r="274" ht="13" customHeight="1" s="82"/>
    <row r="275" ht="13" customHeight="1" s="82"/>
    <row r="276" ht="13" customHeight="1" s="82"/>
    <row r="277" ht="13" customHeight="1" s="82"/>
    <row r="278" ht="13" customHeight="1" s="82"/>
    <row r="279" ht="13" customHeight="1" s="82"/>
    <row r="280" ht="13" customHeight="1" s="82"/>
    <row r="281" ht="13" customHeight="1" s="82"/>
    <row r="282" ht="13" customHeight="1" s="82"/>
    <row r="283" ht="13" customHeight="1" s="82"/>
    <row r="284" ht="13" customHeight="1" s="82"/>
    <row r="285" ht="13" customHeight="1" s="82"/>
    <row r="286" ht="13" customHeight="1" s="82"/>
    <row r="287" ht="13" customHeight="1" s="82"/>
    <row r="288" ht="13" customHeight="1" s="82"/>
    <row r="289" ht="13" customHeight="1" s="82"/>
    <row r="290" ht="13" customHeight="1" s="82"/>
    <row r="291" ht="13" customHeight="1" s="82"/>
    <row r="292" ht="13" customHeight="1" s="82"/>
    <row r="293" ht="13" customHeight="1" s="82"/>
    <row r="294" ht="13" customHeight="1" s="82"/>
    <row r="295" ht="13" customHeight="1" s="82"/>
    <row r="296" ht="13" customHeight="1" s="82"/>
    <row r="297" ht="13" customHeight="1" s="82"/>
    <row r="298" ht="13" customHeight="1" s="82"/>
    <row r="299" ht="13" customHeight="1" s="82"/>
    <row r="300" ht="13" customHeight="1" s="82"/>
    <row r="301" ht="13" customHeight="1" s="82"/>
    <row r="302" ht="13" customHeight="1" s="82"/>
    <row r="303" ht="13" customHeight="1" s="82"/>
    <row r="304" ht="13" customHeight="1" s="82"/>
    <row r="305" ht="13" customHeight="1" s="82"/>
    <row r="306" ht="13" customHeight="1" s="82"/>
    <row r="307" ht="13" customHeight="1" s="82"/>
    <row r="308" ht="13" customHeight="1" s="82"/>
    <row r="309" ht="13" customHeight="1" s="82"/>
    <row r="310" ht="13" customHeight="1" s="82"/>
    <row r="311" ht="13" customHeight="1" s="82"/>
    <row r="312" ht="13" customHeight="1" s="82"/>
    <row r="313" ht="13" customHeight="1" s="82"/>
    <row r="314" ht="13" customHeight="1" s="82"/>
    <row r="315" ht="13" customHeight="1" s="82"/>
    <row r="316" ht="13" customHeight="1" s="82"/>
    <row r="317" ht="13" customHeight="1" s="82"/>
    <row r="318" ht="13" customHeight="1" s="82"/>
    <row r="319" ht="13" customHeight="1" s="82"/>
    <row r="320" ht="13" customHeight="1" s="82"/>
    <row r="321" ht="13" customHeight="1" s="82"/>
    <row r="322" ht="13" customHeight="1" s="82"/>
    <row r="323" ht="13" customHeight="1" s="82"/>
    <row r="324" ht="13" customHeight="1" s="82"/>
    <row r="325" ht="13" customHeight="1" s="82"/>
    <row r="326" ht="13" customHeight="1" s="82"/>
    <row r="327" ht="13" customHeight="1" s="82"/>
    <row r="328" ht="13" customHeight="1" s="82"/>
    <row r="329" ht="13" customHeight="1" s="82"/>
    <row r="330" ht="13" customHeight="1" s="82"/>
    <row r="331" ht="13" customHeight="1" s="82"/>
    <row r="332" ht="13" customHeight="1" s="82"/>
    <row r="333" ht="13" customHeight="1" s="82"/>
    <row r="334" ht="13" customHeight="1" s="82"/>
    <row r="335" ht="13" customHeight="1" s="82"/>
    <row r="336" ht="13" customHeight="1" s="82"/>
    <row r="337" ht="13" customHeight="1" s="82"/>
    <row r="338" ht="13" customHeight="1" s="82"/>
    <row r="339" ht="13" customHeight="1" s="82"/>
    <row r="340" ht="13" customHeight="1" s="82"/>
    <row r="341" ht="13" customHeight="1" s="82"/>
    <row r="342" ht="13" customHeight="1" s="82"/>
    <row r="343" ht="13" customHeight="1" s="82"/>
    <row r="344" ht="13" customHeight="1" s="82"/>
    <row r="345" ht="13" customHeight="1" s="82"/>
    <row r="346" ht="13" customHeight="1" s="82"/>
    <row r="347" ht="13" customHeight="1" s="82"/>
    <row r="348" ht="13" customHeight="1" s="82"/>
    <row r="349" ht="13" customHeight="1" s="82"/>
    <row r="350" ht="13" customHeight="1" s="82"/>
    <row r="351" ht="13" customHeight="1" s="82"/>
    <row r="352" ht="13" customHeight="1" s="82"/>
    <row r="353" ht="13" customHeight="1" s="82"/>
    <row r="354" ht="13" customHeight="1" s="82"/>
    <row r="355" ht="13" customHeight="1" s="82"/>
    <row r="356" ht="13" customHeight="1" s="82"/>
    <row r="357" ht="13" customHeight="1" s="82"/>
    <row r="358" ht="13" customHeight="1" s="82"/>
    <row r="359" ht="13" customHeight="1" s="82"/>
    <row r="360" ht="13" customHeight="1" s="82"/>
    <row r="361" ht="13" customHeight="1" s="82"/>
    <row r="362" ht="13" customHeight="1" s="82"/>
    <row r="363" ht="13" customHeight="1" s="82"/>
    <row r="364" ht="13" customHeight="1" s="82"/>
    <row r="365" ht="13" customHeight="1" s="82"/>
    <row r="366" ht="13" customHeight="1" s="82"/>
    <row r="367" ht="13" customHeight="1" s="82"/>
    <row r="368" ht="13" customHeight="1" s="82"/>
    <row r="369" ht="13" customHeight="1" s="82"/>
    <row r="370" ht="13" customHeight="1" s="82"/>
    <row r="371" ht="13" customHeight="1" s="82"/>
    <row r="372" ht="13" customHeight="1" s="82"/>
    <row r="373" ht="13" customHeight="1" s="82"/>
    <row r="374" ht="13" customHeight="1" s="82"/>
    <row r="375" ht="13" customHeight="1" s="82"/>
    <row r="376" ht="13" customHeight="1" s="82"/>
    <row r="377" ht="13" customHeight="1" s="82"/>
    <row r="378" ht="13" customHeight="1" s="82"/>
    <row r="379" ht="13" customHeight="1" s="82"/>
    <row r="380" ht="13" customHeight="1" s="82"/>
    <row r="381" ht="13" customHeight="1" s="82"/>
    <row r="382" ht="13" customHeight="1" s="82"/>
    <row r="383" ht="13" customHeight="1" s="82"/>
    <row r="384" ht="13" customHeight="1" s="82"/>
    <row r="385" ht="13" customHeight="1" s="82"/>
    <row r="386" ht="13" customHeight="1" s="82"/>
    <row r="387" ht="13" customHeight="1" s="82"/>
    <row r="388" ht="13" customHeight="1" s="82"/>
    <row r="389" ht="13" customHeight="1" s="82"/>
    <row r="390" ht="13" customHeight="1" s="82"/>
    <row r="391" ht="13" customHeight="1" s="82"/>
    <row r="392" ht="13" customHeight="1" s="82"/>
    <row r="393" ht="13" customHeight="1" s="82"/>
    <row r="394" ht="13" customHeight="1" s="82"/>
    <row r="395" ht="13" customHeight="1" s="82"/>
    <row r="396" ht="13" customHeight="1" s="82"/>
    <row r="397" ht="13" customHeight="1" s="82"/>
    <row r="398" ht="13" customHeight="1" s="82"/>
    <row r="399" ht="13" customHeight="1" s="82"/>
    <row r="400" ht="13" customHeight="1" s="82"/>
    <row r="401" ht="13" customHeight="1" s="82"/>
    <row r="402" ht="13" customHeight="1" s="82"/>
    <row r="403" ht="13" customHeight="1" s="82"/>
    <row r="404" ht="13" customHeight="1" s="82"/>
    <row r="405" ht="13" customHeight="1" s="82"/>
    <row r="406" ht="13" customHeight="1" s="82"/>
    <row r="407" ht="13" customHeight="1" s="82"/>
    <row r="408" ht="13" customHeight="1" s="82"/>
    <row r="409" ht="13" customHeight="1" s="82"/>
    <row r="410" ht="13" customHeight="1" s="82"/>
    <row r="411" ht="13" customHeight="1" s="82"/>
    <row r="412" ht="13" customHeight="1" s="82"/>
    <row r="413" ht="13" customHeight="1" s="82"/>
    <row r="414" ht="13" customHeight="1" s="82"/>
    <row r="415" ht="13" customHeight="1" s="82"/>
    <row r="416" ht="13" customHeight="1" s="82"/>
    <row r="417" ht="13" customHeight="1" s="82"/>
    <row r="418" ht="13" customHeight="1" s="82"/>
    <row r="419" ht="13" customHeight="1" s="82"/>
    <row r="420" ht="13" customHeight="1" s="82"/>
    <row r="421" ht="13" customHeight="1" s="82"/>
    <row r="422" ht="13" customHeight="1" s="82"/>
    <row r="423" ht="13" customHeight="1" s="82"/>
    <row r="424" ht="13" customHeight="1" s="82"/>
    <row r="425" ht="13" customHeight="1" s="82"/>
    <row r="426" ht="13" customHeight="1" s="82"/>
    <row r="427" ht="13" customHeight="1" s="82"/>
    <row r="428" ht="13" customHeight="1" s="82"/>
    <row r="429" ht="13" customHeight="1" s="82"/>
    <row r="430" ht="13" customHeight="1" s="82"/>
    <row r="431" ht="13" customHeight="1" s="82"/>
    <row r="432" ht="13" customHeight="1" s="82"/>
    <row r="433" ht="13" customHeight="1" s="82"/>
    <row r="434" ht="13" customHeight="1" s="82"/>
    <row r="435" ht="13" customHeight="1" s="82"/>
    <row r="436" ht="13" customHeight="1" s="82"/>
    <row r="437" ht="13" customHeight="1" s="82"/>
    <row r="438" ht="13" customHeight="1" s="82"/>
    <row r="439" ht="13" customHeight="1" s="82"/>
    <row r="440" ht="13" customHeight="1" s="82"/>
    <row r="441" ht="13" customHeight="1" s="82"/>
    <row r="442" ht="13" customHeight="1" s="82"/>
    <row r="443" ht="13" customHeight="1" s="82"/>
    <row r="444" ht="13" customHeight="1" s="82"/>
    <row r="445" ht="13" customHeight="1" s="82"/>
    <row r="446" ht="13" customHeight="1" s="82"/>
    <row r="447" ht="13" customHeight="1" s="82"/>
    <row r="448" ht="13" customHeight="1" s="82"/>
    <row r="449" ht="13" customHeight="1" s="82"/>
    <row r="450" ht="13" customHeight="1" s="82"/>
    <row r="451" ht="13" customHeight="1" s="82"/>
    <row r="452" ht="13" customHeight="1" s="82"/>
    <row r="453" ht="13" customHeight="1" s="82"/>
    <row r="454" ht="13" customHeight="1" s="82"/>
    <row r="455" ht="13" customHeight="1" s="82"/>
    <row r="456" ht="13" customHeight="1" s="82"/>
    <row r="457" ht="13" customHeight="1" s="82"/>
    <row r="458" ht="13" customHeight="1" s="82"/>
    <row r="459" ht="13" customHeight="1" s="82"/>
    <row r="460" ht="13" customHeight="1" s="82"/>
    <row r="461" ht="13" customHeight="1" s="82"/>
    <row r="462" ht="13" customHeight="1" s="82"/>
    <row r="463" ht="13" customHeight="1" s="82"/>
    <row r="464" ht="13" customHeight="1" s="82"/>
    <row r="465" ht="13" customHeight="1" s="82"/>
    <row r="466" ht="13" customHeight="1" s="82"/>
    <row r="467" ht="13" customHeight="1" s="82"/>
    <row r="468" ht="13" customHeight="1" s="82"/>
    <row r="469" ht="13" customHeight="1" s="82"/>
    <row r="470" ht="13" customHeight="1" s="82"/>
    <row r="471" ht="13" customHeight="1" s="82"/>
    <row r="472" ht="13" customHeight="1" s="82"/>
    <row r="473" ht="13" customHeight="1" s="82"/>
    <row r="474" ht="13" customHeight="1" s="82"/>
    <row r="475" ht="13" customHeight="1" s="82"/>
    <row r="476" ht="13" customHeight="1" s="82"/>
    <row r="477" ht="13" customHeight="1" s="82"/>
    <row r="478" ht="13" customHeight="1" s="82"/>
    <row r="479" ht="13" customHeight="1" s="82"/>
    <row r="480" ht="13" customHeight="1" s="82"/>
    <row r="481" ht="13" customHeight="1" s="82"/>
    <row r="482" ht="13" customHeight="1" s="82"/>
    <row r="483" ht="13" customHeight="1" s="82"/>
    <row r="484" ht="13" customHeight="1" s="82"/>
    <row r="485" ht="13" customHeight="1" s="82"/>
    <row r="486" ht="13" customHeight="1" s="82"/>
    <row r="487" ht="13" customHeight="1" s="82"/>
    <row r="488" ht="13" customHeight="1" s="82"/>
    <row r="489" ht="13" customHeight="1" s="82"/>
    <row r="490" ht="13" customHeight="1" s="82"/>
    <row r="491" ht="13" customHeight="1" s="82"/>
    <row r="492" ht="13" customHeight="1" s="82"/>
    <row r="493" ht="13" customHeight="1" s="82"/>
    <row r="494" ht="13" customHeight="1" s="82"/>
    <row r="495" ht="13" customHeight="1" s="82"/>
    <row r="496" ht="13" customHeight="1" s="82"/>
    <row r="497" ht="13" customHeight="1" s="82"/>
    <row r="498" ht="13" customHeight="1" s="82"/>
    <row r="499" ht="13" customHeight="1" s="82"/>
    <row r="500" ht="13" customHeight="1" s="82"/>
    <row r="501" ht="13" customHeight="1" s="82"/>
    <row r="502" ht="13" customHeight="1" s="82"/>
    <row r="503" ht="13" customHeight="1" s="82"/>
    <row r="504" ht="13" customHeight="1" s="82"/>
    <row r="505" ht="13" customHeight="1" s="82"/>
    <row r="506" ht="13" customHeight="1" s="82"/>
    <row r="507" ht="13" customHeight="1" s="82"/>
    <row r="508" ht="13" customHeight="1" s="82"/>
    <row r="509" ht="13" customHeight="1" s="82"/>
    <row r="510" ht="13" customHeight="1" s="82"/>
    <row r="511" ht="13" customHeight="1" s="82"/>
    <row r="512" ht="13" customHeight="1" s="82"/>
    <row r="513" ht="13" customHeight="1" s="82"/>
    <row r="514" ht="13" customHeight="1" s="82"/>
    <row r="515" ht="13" customHeight="1" s="82"/>
    <row r="516" ht="13" customHeight="1" s="82"/>
    <row r="517" ht="13" customHeight="1" s="82"/>
    <row r="518" ht="13" customHeight="1" s="82"/>
    <row r="519" ht="13" customHeight="1" s="82"/>
    <row r="520" ht="13" customHeight="1" s="82"/>
    <row r="521" ht="13" customHeight="1" s="82"/>
    <row r="522" ht="13" customHeight="1" s="82"/>
    <row r="523" ht="13" customHeight="1" s="82"/>
    <row r="524" ht="13" customHeight="1" s="82"/>
    <row r="525" ht="13" customHeight="1" s="82"/>
    <row r="526" ht="13" customHeight="1" s="82"/>
    <row r="527" ht="13" customHeight="1" s="82"/>
    <row r="528" ht="13" customHeight="1" s="82"/>
    <row r="529" ht="13" customHeight="1" s="82"/>
    <row r="530" ht="13" customHeight="1" s="82"/>
    <row r="531" ht="13" customHeight="1" s="82"/>
    <row r="532" ht="13" customHeight="1" s="82"/>
    <row r="533" ht="13" customHeight="1" s="82"/>
    <row r="534" ht="13" customHeight="1" s="82"/>
    <row r="535" ht="13" customHeight="1" s="82"/>
    <row r="536" ht="13" customHeight="1" s="82"/>
    <row r="537" ht="13" customHeight="1" s="82"/>
    <row r="538" ht="13" customHeight="1" s="82"/>
    <row r="539" ht="13" customHeight="1" s="82"/>
    <row r="540" ht="13" customHeight="1" s="82"/>
    <row r="541" ht="13" customHeight="1" s="82"/>
    <row r="542" ht="13" customHeight="1" s="82"/>
    <row r="543" ht="13" customHeight="1" s="82"/>
    <row r="544" ht="13" customHeight="1" s="82"/>
    <row r="545" ht="13" customHeight="1" s="82"/>
    <row r="546" ht="13" customHeight="1" s="82"/>
    <row r="547" ht="13" customHeight="1" s="82"/>
    <row r="548" ht="13" customHeight="1" s="82"/>
    <row r="549" ht="13" customHeight="1" s="82"/>
    <row r="550" ht="13" customHeight="1" s="82"/>
    <row r="551" ht="13" customHeight="1" s="82"/>
    <row r="552" ht="13" customHeight="1" s="82"/>
    <row r="553" ht="13" customHeight="1" s="82"/>
    <row r="554" ht="13" customHeight="1" s="82"/>
    <row r="555" ht="13" customHeight="1" s="82"/>
    <row r="556" ht="13" customHeight="1" s="82"/>
    <row r="557" ht="13" customHeight="1" s="82"/>
    <row r="558" ht="13" customHeight="1" s="82"/>
    <row r="559" ht="13" customHeight="1" s="82"/>
    <row r="560" ht="13" customHeight="1" s="82"/>
    <row r="561" ht="13" customHeight="1" s="82"/>
    <row r="562" ht="13" customHeight="1" s="82"/>
    <row r="563" ht="13" customHeight="1" s="82"/>
    <row r="564" ht="13" customHeight="1" s="82"/>
    <row r="565" ht="13" customHeight="1" s="82"/>
    <row r="566" ht="13" customHeight="1" s="82"/>
    <row r="567" ht="13" customHeight="1" s="82"/>
    <row r="568" ht="13" customHeight="1" s="82"/>
    <row r="569" ht="13" customHeight="1" s="82"/>
    <row r="570" ht="13" customHeight="1" s="82"/>
    <row r="571" ht="13" customHeight="1" s="82"/>
    <row r="572" ht="13" customHeight="1" s="82"/>
    <row r="573" ht="13" customHeight="1" s="82"/>
    <row r="574" ht="13" customHeight="1" s="82"/>
    <row r="575" ht="13" customHeight="1" s="82"/>
    <row r="576" ht="13" customHeight="1" s="82"/>
    <row r="577" ht="13" customHeight="1" s="82"/>
    <row r="578" ht="13" customHeight="1" s="82"/>
    <row r="579" ht="13" customHeight="1" s="82"/>
    <row r="580" ht="13" customHeight="1" s="82"/>
    <row r="581" ht="13" customHeight="1" s="82"/>
    <row r="582" ht="13" customHeight="1" s="82"/>
    <row r="583" ht="13" customHeight="1" s="82"/>
    <row r="584" ht="13" customHeight="1" s="82"/>
    <row r="585" ht="13" customHeight="1" s="82"/>
    <row r="586" ht="13" customHeight="1" s="82"/>
    <row r="587" ht="13" customHeight="1" s="82"/>
    <row r="588" ht="13" customHeight="1" s="82"/>
    <row r="589" ht="13" customHeight="1" s="82"/>
    <row r="590" ht="13" customHeight="1" s="82"/>
    <row r="591" ht="13" customHeight="1" s="82"/>
    <row r="592" ht="13" customHeight="1" s="82"/>
    <row r="593" ht="13" customHeight="1" s="82"/>
    <row r="594" ht="13" customHeight="1" s="82"/>
    <row r="595" ht="13" customHeight="1" s="82"/>
    <row r="596" ht="13" customHeight="1" s="82"/>
    <row r="597" ht="13" customHeight="1" s="82"/>
    <row r="598" ht="13" customHeight="1" s="82"/>
    <row r="599" ht="13" customHeight="1" s="82"/>
    <row r="600" ht="13" customHeight="1" s="82"/>
    <row r="601" ht="13" customHeight="1" s="82"/>
    <row r="602" ht="13" customHeight="1" s="82"/>
    <row r="603" ht="13" customHeight="1" s="82"/>
    <row r="604" ht="13" customHeight="1" s="82"/>
    <row r="605" ht="13" customHeight="1" s="82"/>
    <row r="606" ht="13" customHeight="1" s="82"/>
    <row r="607" ht="13" customHeight="1" s="82"/>
    <row r="608" ht="13" customHeight="1" s="82"/>
    <row r="609" ht="13" customHeight="1" s="82"/>
    <row r="610" ht="13" customHeight="1" s="82"/>
    <row r="611" ht="13" customHeight="1" s="82"/>
    <row r="612" ht="13" customHeight="1" s="82"/>
    <row r="613" ht="13" customHeight="1" s="82"/>
    <row r="614" ht="13" customHeight="1" s="82"/>
    <row r="615" ht="13" customHeight="1" s="82"/>
    <row r="616" ht="13" customHeight="1" s="82"/>
    <row r="617" ht="13" customHeight="1" s="82"/>
    <row r="618" ht="13" customHeight="1" s="82"/>
    <row r="619" ht="13" customHeight="1" s="82"/>
    <row r="620" ht="13" customHeight="1" s="82"/>
    <row r="621" ht="13" customHeight="1" s="82"/>
    <row r="622" ht="13" customHeight="1" s="82"/>
    <row r="623" ht="13" customHeight="1" s="82"/>
    <row r="624" ht="13" customHeight="1" s="82"/>
    <row r="625" ht="13" customHeight="1" s="82"/>
    <row r="626" ht="13" customHeight="1" s="82"/>
    <row r="627" ht="13" customHeight="1" s="82"/>
    <row r="628" ht="13" customHeight="1" s="82"/>
    <row r="629" ht="13" customHeight="1" s="82"/>
    <row r="630" ht="13" customHeight="1" s="82"/>
    <row r="631" ht="13" customHeight="1" s="82"/>
    <row r="632" ht="13" customHeight="1" s="82"/>
    <row r="633" ht="13" customHeight="1" s="82"/>
    <row r="634" ht="13" customHeight="1" s="82"/>
    <row r="635" ht="13" customHeight="1" s="82"/>
    <row r="636" ht="13" customHeight="1" s="82"/>
    <row r="637" ht="13" customHeight="1" s="82"/>
    <row r="638" ht="13" customHeight="1" s="82"/>
    <row r="639" ht="13" customHeight="1" s="82"/>
    <row r="640" ht="13" customHeight="1" s="82"/>
    <row r="641" ht="13" customHeight="1" s="82"/>
    <row r="642" ht="13" customHeight="1" s="82"/>
    <row r="643" ht="13" customHeight="1" s="82"/>
    <row r="644" ht="13" customHeight="1" s="82"/>
    <row r="645" ht="13" customHeight="1" s="82"/>
    <row r="646" ht="13" customHeight="1" s="82"/>
    <row r="647" ht="13" customHeight="1" s="82"/>
    <row r="648" ht="13" customHeight="1" s="82"/>
    <row r="649" ht="13" customHeight="1" s="82"/>
    <row r="650" ht="13" customHeight="1" s="82"/>
    <row r="651" ht="13" customHeight="1" s="82"/>
    <row r="652" ht="13" customHeight="1" s="82"/>
    <row r="653" ht="13" customHeight="1" s="82"/>
    <row r="654" ht="13" customHeight="1" s="82"/>
    <row r="655" ht="13" customHeight="1" s="82"/>
    <row r="656" ht="13" customHeight="1" s="82"/>
    <row r="657" ht="13" customHeight="1" s="82"/>
    <row r="658" ht="13" customHeight="1" s="82"/>
    <row r="659" ht="13" customHeight="1" s="82"/>
    <row r="660" ht="13" customHeight="1" s="82"/>
    <row r="661" ht="13" customHeight="1" s="82"/>
    <row r="662" ht="13" customHeight="1" s="82"/>
    <row r="663" ht="13" customHeight="1" s="82"/>
    <row r="664" ht="13" customHeight="1" s="82"/>
    <row r="665" ht="13" customHeight="1" s="82"/>
    <row r="666" ht="13" customHeight="1" s="82"/>
    <row r="667" ht="13" customHeight="1" s="82"/>
    <row r="668" ht="13" customHeight="1" s="82"/>
    <row r="669" ht="13" customHeight="1" s="82"/>
    <row r="670" ht="13" customHeight="1" s="82"/>
    <row r="671" ht="13" customHeight="1" s="82"/>
    <row r="672" ht="13" customHeight="1" s="82"/>
    <row r="673" ht="13" customHeight="1" s="82"/>
    <row r="674" ht="13" customHeight="1" s="82"/>
    <row r="675" ht="13" customHeight="1" s="82"/>
    <row r="676" ht="13" customHeight="1" s="82"/>
    <row r="677" ht="13" customHeight="1" s="82"/>
    <row r="678" ht="13" customHeight="1" s="82"/>
    <row r="679" ht="13" customHeight="1" s="82"/>
    <row r="680" ht="13" customHeight="1" s="82"/>
    <row r="681" ht="13" customHeight="1" s="82"/>
    <row r="682" ht="13" customHeight="1" s="82"/>
    <row r="683" ht="13" customHeight="1" s="82"/>
    <row r="684" ht="13" customHeight="1" s="82"/>
    <row r="685" ht="13" customHeight="1" s="82"/>
    <row r="686" ht="13" customHeight="1" s="82"/>
    <row r="687" ht="13" customHeight="1" s="82"/>
    <row r="688" ht="13" customHeight="1" s="82"/>
    <row r="689" ht="13" customHeight="1" s="82"/>
    <row r="690" ht="13" customHeight="1" s="82"/>
    <row r="691" ht="13" customHeight="1" s="82"/>
    <row r="692" ht="13" customHeight="1" s="82"/>
    <row r="693" ht="13" customHeight="1" s="82"/>
    <row r="694" ht="13" customHeight="1" s="82"/>
    <row r="695" ht="13" customHeight="1" s="82"/>
    <row r="696" ht="13" customHeight="1" s="82"/>
    <row r="697" ht="13" customHeight="1" s="82"/>
    <row r="698" ht="13" customHeight="1" s="82"/>
    <row r="699" ht="13" customHeight="1" s="82"/>
    <row r="700" ht="13" customHeight="1" s="82"/>
    <row r="701" ht="13" customHeight="1" s="82"/>
    <row r="702" ht="13" customHeight="1" s="82"/>
    <row r="703" ht="13" customHeight="1" s="82"/>
    <row r="704" ht="13" customHeight="1" s="82"/>
    <row r="705" ht="13" customHeight="1" s="82"/>
    <row r="706" ht="13" customHeight="1" s="82"/>
    <row r="707" ht="13" customHeight="1" s="82"/>
    <row r="708" ht="13" customHeight="1" s="82"/>
    <row r="709" ht="13" customHeight="1" s="82"/>
    <row r="710" ht="13" customHeight="1" s="82"/>
    <row r="711" ht="13" customHeight="1" s="82"/>
    <row r="712" ht="13" customHeight="1" s="82"/>
    <row r="713" ht="13" customHeight="1" s="82"/>
    <row r="714" ht="13" customHeight="1" s="82"/>
    <row r="715" ht="13" customHeight="1" s="82"/>
    <row r="716" ht="13" customHeight="1" s="82"/>
    <row r="717" ht="13" customHeight="1" s="82"/>
    <row r="718" ht="13" customHeight="1" s="82"/>
    <row r="719" ht="13" customHeight="1" s="82"/>
    <row r="720" ht="13" customHeight="1" s="82"/>
    <row r="721" ht="13" customHeight="1" s="82"/>
    <row r="722" ht="13" customHeight="1" s="82"/>
    <row r="723" ht="13" customHeight="1" s="82"/>
    <row r="724" ht="13" customHeight="1" s="82"/>
    <row r="725" ht="13" customHeight="1" s="82"/>
    <row r="726" ht="13" customHeight="1" s="82"/>
    <row r="727" ht="13" customHeight="1" s="82"/>
    <row r="728" ht="13" customHeight="1" s="82"/>
    <row r="729" ht="13" customHeight="1" s="82"/>
    <row r="730" ht="13" customHeight="1" s="82"/>
    <row r="731" ht="13" customHeight="1" s="82"/>
    <row r="732" ht="13" customHeight="1" s="82"/>
    <row r="733" ht="13" customHeight="1" s="82"/>
    <row r="734" ht="13" customHeight="1" s="82"/>
    <row r="735" ht="13" customHeight="1" s="82"/>
    <row r="736" ht="13" customHeight="1" s="82"/>
    <row r="737" ht="13" customHeight="1" s="82"/>
    <row r="738" ht="13" customHeight="1" s="82"/>
    <row r="739" ht="13" customHeight="1" s="82"/>
    <row r="740" ht="13" customHeight="1" s="82"/>
    <row r="741" ht="13" customHeight="1" s="82"/>
    <row r="742" ht="13" customHeight="1" s="82"/>
    <row r="743" ht="13" customHeight="1" s="82"/>
    <row r="744" ht="13" customHeight="1" s="82"/>
    <row r="745" ht="13" customHeight="1" s="82"/>
    <row r="746" ht="13" customHeight="1" s="82"/>
    <row r="747" ht="13" customHeight="1" s="82"/>
    <row r="748" ht="13" customHeight="1" s="82"/>
    <row r="749" ht="13" customHeight="1" s="82"/>
    <row r="750" ht="13" customHeight="1" s="82"/>
    <row r="751" ht="13" customHeight="1" s="82"/>
    <row r="752" ht="13" customHeight="1" s="82"/>
    <row r="753" ht="13" customHeight="1" s="82"/>
    <row r="754" ht="13" customHeight="1" s="82"/>
    <row r="755" ht="13" customHeight="1" s="82"/>
    <row r="756" ht="13" customHeight="1" s="82"/>
    <row r="757" ht="13" customHeight="1" s="82"/>
    <row r="758" ht="13" customHeight="1" s="82"/>
    <row r="759" ht="13" customHeight="1" s="82"/>
    <row r="760" ht="13" customHeight="1" s="82"/>
    <row r="761" ht="13" customHeight="1" s="82"/>
    <row r="762" ht="13" customHeight="1" s="82"/>
    <row r="763" ht="13" customHeight="1" s="82"/>
    <row r="764" ht="13" customHeight="1" s="82"/>
    <row r="765" ht="13" customHeight="1" s="82"/>
    <row r="766" ht="13" customHeight="1" s="82"/>
    <row r="767" ht="13" customHeight="1" s="82"/>
    <row r="768" ht="13" customHeight="1" s="82"/>
    <row r="769" ht="13" customHeight="1" s="82"/>
    <row r="770" ht="13" customHeight="1" s="82"/>
    <row r="771" ht="13" customHeight="1" s="82"/>
    <row r="772" ht="13" customHeight="1" s="82"/>
    <row r="773" ht="13" customHeight="1" s="82"/>
    <row r="774" ht="13" customHeight="1" s="82"/>
    <row r="775" ht="13" customHeight="1" s="82"/>
    <row r="776" ht="13" customHeight="1" s="82"/>
    <row r="777" ht="13" customHeight="1" s="82"/>
    <row r="778" ht="13" customHeight="1" s="82"/>
    <row r="779" ht="13" customHeight="1" s="82"/>
    <row r="780" ht="13" customHeight="1" s="82"/>
    <row r="781" ht="13" customHeight="1" s="82"/>
    <row r="782" ht="13" customHeight="1" s="82"/>
    <row r="783" ht="13" customHeight="1" s="82"/>
    <row r="784" ht="13" customHeight="1" s="82"/>
    <row r="785" ht="13" customHeight="1" s="82"/>
    <row r="786" ht="13" customHeight="1" s="82"/>
    <row r="787" ht="13" customHeight="1" s="82"/>
    <row r="788" ht="13" customHeight="1" s="82"/>
    <row r="789" ht="13" customHeight="1" s="82"/>
    <row r="790" ht="13" customHeight="1" s="82"/>
    <row r="791" ht="13" customHeight="1" s="82"/>
    <row r="792" ht="13" customHeight="1" s="82"/>
    <row r="793" ht="13" customHeight="1" s="82"/>
    <row r="794" ht="13" customHeight="1" s="82"/>
    <row r="795" ht="13" customHeight="1" s="82"/>
    <row r="796" ht="13" customHeight="1" s="82"/>
    <row r="797" ht="13" customHeight="1" s="82"/>
    <row r="798" ht="13" customHeight="1" s="82"/>
    <row r="799" ht="13" customHeight="1" s="82"/>
    <row r="800" ht="13" customHeight="1" s="82"/>
    <row r="801" ht="13" customHeight="1" s="82"/>
    <row r="802" ht="13" customHeight="1" s="82"/>
    <row r="803" ht="13" customHeight="1" s="82"/>
    <row r="804" ht="13" customHeight="1" s="82"/>
    <row r="805" ht="13" customHeight="1" s="82"/>
    <row r="806" ht="13" customHeight="1" s="82"/>
    <row r="807" ht="13" customHeight="1" s="82"/>
    <row r="808" ht="13" customHeight="1" s="82"/>
    <row r="809" ht="13" customHeight="1" s="82"/>
    <row r="810" ht="13" customHeight="1" s="82"/>
    <row r="811" ht="13" customHeight="1" s="82"/>
    <row r="812" ht="13" customHeight="1" s="82"/>
    <row r="813" ht="13" customHeight="1" s="82"/>
    <row r="814" ht="13" customHeight="1" s="82"/>
    <row r="815" ht="13" customHeight="1" s="82"/>
    <row r="816" ht="13" customHeight="1" s="82"/>
    <row r="817" ht="13" customHeight="1" s="82"/>
    <row r="818" ht="13" customHeight="1" s="82"/>
    <row r="819" ht="13" customHeight="1" s="82"/>
    <row r="820" ht="13" customHeight="1" s="82"/>
    <row r="821" ht="13" customHeight="1" s="82"/>
    <row r="822" ht="13" customHeight="1" s="82"/>
    <row r="823" ht="13" customHeight="1" s="82"/>
    <row r="824" ht="13" customHeight="1" s="82"/>
    <row r="825" ht="13" customHeight="1" s="82"/>
    <row r="826" ht="13" customHeight="1" s="82"/>
    <row r="827" ht="13" customHeight="1" s="82"/>
    <row r="828" ht="13" customHeight="1" s="82"/>
    <row r="829" ht="13" customHeight="1" s="82"/>
    <row r="830" ht="13" customHeight="1" s="82"/>
    <row r="831" ht="13" customHeight="1" s="82"/>
    <row r="832" ht="13" customHeight="1" s="82"/>
    <row r="833" ht="13" customHeight="1" s="82"/>
    <row r="834" ht="13" customHeight="1" s="82"/>
    <row r="835" ht="13" customHeight="1" s="82"/>
    <row r="836" ht="13" customHeight="1" s="82"/>
    <row r="837" ht="13" customHeight="1" s="82"/>
    <row r="838" ht="13" customHeight="1" s="82"/>
    <row r="839" ht="13" customHeight="1" s="82"/>
    <row r="840" ht="13" customHeight="1" s="82"/>
    <row r="841" ht="13" customHeight="1" s="82"/>
    <row r="842" ht="13" customHeight="1" s="82"/>
    <row r="843" ht="13" customHeight="1" s="82"/>
    <row r="844" ht="13" customHeight="1" s="82"/>
    <row r="845" ht="13" customHeight="1" s="82"/>
    <row r="846" ht="13" customHeight="1" s="82"/>
    <row r="847" ht="13" customHeight="1" s="82"/>
    <row r="848" ht="13" customHeight="1" s="82"/>
    <row r="849" ht="13" customHeight="1" s="82"/>
    <row r="850" ht="13" customHeight="1" s="82"/>
    <row r="851" ht="13" customHeight="1" s="82"/>
    <row r="852" ht="13" customHeight="1" s="82"/>
    <row r="853" ht="13" customHeight="1" s="82"/>
    <row r="854" ht="13" customHeight="1" s="82"/>
    <row r="855" ht="13" customHeight="1" s="82"/>
    <row r="856" ht="13" customHeight="1" s="82"/>
    <row r="857" ht="13" customHeight="1" s="82"/>
    <row r="858" ht="13" customHeight="1" s="82"/>
    <row r="859" ht="13" customHeight="1" s="82"/>
    <row r="860" ht="13" customHeight="1" s="82"/>
    <row r="861" ht="13" customHeight="1" s="82"/>
    <row r="862" ht="13" customHeight="1" s="82"/>
    <row r="863" ht="13" customHeight="1" s="82"/>
    <row r="864" ht="13" customHeight="1" s="82"/>
    <row r="865" ht="13" customHeight="1" s="82"/>
    <row r="866" ht="13" customHeight="1" s="82"/>
    <row r="867" ht="13" customHeight="1" s="82"/>
    <row r="868" ht="13" customHeight="1" s="82"/>
    <row r="869" ht="13" customHeight="1" s="82"/>
    <row r="870" ht="13" customHeight="1" s="82"/>
    <row r="871" ht="13" customHeight="1" s="82"/>
    <row r="872" ht="13" customHeight="1" s="82"/>
    <row r="873" ht="13" customHeight="1" s="82"/>
    <row r="874" ht="13" customHeight="1" s="82"/>
    <row r="875" ht="13" customHeight="1" s="82"/>
    <row r="876" ht="13" customHeight="1" s="82"/>
    <row r="877" ht="13" customHeight="1" s="82"/>
    <row r="878" ht="13" customHeight="1" s="82"/>
    <row r="879" ht="13" customHeight="1" s="82"/>
    <row r="880" ht="13" customHeight="1" s="82"/>
    <row r="881" ht="13" customHeight="1" s="82"/>
    <row r="882" ht="13" customHeight="1" s="82"/>
    <row r="883" ht="13" customHeight="1" s="82"/>
    <row r="884" ht="13" customHeight="1" s="82"/>
    <row r="885" ht="13" customHeight="1" s="82"/>
    <row r="886" ht="13" customHeight="1" s="82"/>
    <row r="887" ht="13" customHeight="1" s="82"/>
    <row r="888" ht="13" customHeight="1" s="82"/>
    <row r="889" ht="13" customHeight="1" s="82"/>
    <row r="890" ht="13" customHeight="1" s="82"/>
    <row r="891" ht="13" customHeight="1" s="82"/>
    <row r="892" ht="13" customHeight="1" s="82"/>
    <row r="893" ht="13" customHeight="1" s="82"/>
    <row r="894" ht="13" customHeight="1" s="82"/>
    <row r="895" ht="13" customHeight="1" s="82"/>
    <row r="896" ht="13" customHeight="1" s="82"/>
    <row r="897" ht="13" customHeight="1" s="82"/>
    <row r="898" ht="13" customHeight="1" s="82"/>
    <row r="899" ht="13" customHeight="1" s="82"/>
    <row r="900" ht="13" customHeight="1" s="82"/>
    <row r="901" ht="13" customHeight="1" s="82"/>
    <row r="902" ht="13" customHeight="1" s="82"/>
    <row r="903" ht="13" customHeight="1" s="82"/>
    <row r="904" ht="13" customHeight="1" s="82"/>
    <row r="905" ht="13" customHeight="1" s="82"/>
    <row r="906" ht="13" customHeight="1" s="82"/>
    <row r="907" ht="13" customHeight="1" s="82"/>
    <row r="908" ht="13" customHeight="1" s="82"/>
    <row r="909" ht="13" customHeight="1" s="82"/>
    <row r="910" ht="13" customHeight="1" s="82"/>
    <row r="911" ht="13" customHeight="1" s="82"/>
    <row r="912" ht="13" customHeight="1" s="82"/>
    <row r="913" ht="13" customHeight="1" s="82"/>
    <row r="914" ht="13" customHeight="1" s="82"/>
    <row r="915" ht="13" customHeight="1" s="82"/>
    <row r="916" ht="13" customHeight="1" s="82"/>
    <row r="917" ht="13" customHeight="1" s="82"/>
    <row r="918" ht="13" customHeight="1" s="82"/>
    <row r="919" ht="13" customHeight="1" s="82"/>
    <row r="920" ht="13" customHeight="1" s="82"/>
    <row r="921" ht="13" customHeight="1" s="82"/>
    <row r="922" ht="13" customHeight="1" s="82"/>
    <row r="923" ht="13" customHeight="1" s="82"/>
    <row r="924" ht="13" customHeight="1" s="82"/>
    <row r="925" ht="13" customHeight="1" s="82"/>
    <row r="926" ht="13" customHeight="1" s="82"/>
    <row r="927" ht="13" customHeight="1" s="82"/>
    <row r="928" ht="13" customHeight="1" s="82"/>
    <row r="929" ht="13" customHeight="1" s="82"/>
    <row r="930" ht="13" customHeight="1" s="82"/>
    <row r="931" ht="13" customHeight="1" s="82"/>
    <row r="932" ht="13" customHeight="1" s="82"/>
    <row r="933" ht="13" customHeight="1" s="82"/>
    <row r="934" ht="13" customHeight="1" s="82"/>
    <row r="935" ht="13" customHeight="1" s="82"/>
    <row r="936" ht="13" customHeight="1" s="82"/>
    <row r="937" ht="13" customHeight="1" s="82"/>
    <row r="938" ht="13" customHeight="1" s="82"/>
    <row r="939" ht="13" customHeight="1" s="82"/>
    <row r="940" ht="13" customHeight="1" s="82"/>
    <row r="941" ht="13" customHeight="1" s="82"/>
    <row r="942" ht="13" customHeight="1" s="82"/>
    <row r="943" ht="13" customHeight="1" s="82"/>
    <row r="944" ht="13" customHeight="1" s="82"/>
    <row r="945" ht="13" customHeight="1" s="82"/>
    <row r="946" ht="13" customHeight="1" s="82"/>
    <row r="947" ht="13" customHeight="1" s="82"/>
    <row r="948" ht="13" customHeight="1" s="82"/>
    <row r="949" ht="13" customHeight="1" s="82"/>
    <row r="950" ht="13" customHeight="1" s="82"/>
    <row r="951" ht="13" customHeight="1" s="82"/>
    <row r="952" ht="13" customHeight="1" s="82"/>
    <row r="953" ht="13" customHeight="1" s="82"/>
    <row r="954" ht="13" customHeight="1" s="82"/>
    <row r="955" ht="13" customHeight="1" s="82"/>
    <row r="956" ht="13" customHeight="1" s="82"/>
    <row r="957" ht="13" customHeight="1" s="82"/>
    <row r="958" ht="13" customHeight="1" s="82"/>
    <row r="959" ht="13" customHeight="1" s="82"/>
    <row r="960" ht="13" customHeight="1" s="82"/>
    <row r="961" ht="13" customHeight="1" s="82"/>
    <row r="962" ht="13" customHeight="1" s="82"/>
    <row r="963" ht="13" customHeight="1" s="82"/>
    <row r="964" ht="13" customHeight="1" s="82"/>
    <row r="965" ht="13" customHeight="1" s="82"/>
    <row r="966" ht="13" customHeight="1" s="82"/>
    <row r="967" ht="13" customHeight="1" s="82"/>
    <row r="968" ht="13" customHeight="1" s="82"/>
    <row r="969" ht="13" customHeight="1" s="82"/>
    <row r="970" ht="13" customHeight="1" s="82"/>
    <row r="971" ht="13" customHeight="1" s="82"/>
    <row r="972" ht="13" customHeight="1" s="82"/>
    <row r="973" ht="13" customHeight="1" s="82"/>
    <row r="974" ht="13" customHeight="1" s="82"/>
    <row r="975" ht="13" customHeight="1" s="82"/>
    <row r="976" ht="13" customHeight="1" s="82"/>
    <row r="977" ht="13" customHeight="1" s="82"/>
    <row r="978" ht="13" customHeight="1" s="82"/>
    <row r="979" ht="13" customHeight="1" s="82"/>
    <row r="980" ht="13" customHeight="1" s="82"/>
    <row r="981" ht="13" customHeight="1" s="82"/>
    <row r="982" ht="13" customHeight="1" s="82"/>
    <row r="983" ht="13" customHeight="1" s="82"/>
    <row r="984" ht="13" customHeight="1" s="82"/>
    <row r="985" ht="13" customHeight="1" s="82"/>
    <row r="986" ht="13" customHeight="1" s="82"/>
    <row r="987" ht="13" customHeight="1" s="82"/>
    <row r="988" ht="13" customHeight="1" s="82"/>
    <row r="989" ht="13" customHeight="1" s="82"/>
    <row r="990" ht="13" customHeight="1" s="82"/>
    <row r="991" ht="13" customHeight="1" s="82"/>
    <row r="992" ht="13" customHeight="1" s="82"/>
    <row r="993" ht="13" customHeight="1" s="82"/>
    <row r="994" ht="13" customHeight="1" s="82"/>
    <row r="995" ht="13" customHeight="1" s="82"/>
    <row r="996" ht="13" customHeight="1" s="82"/>
    <row r="997" ht="13" customHeight="1" s="82"/>
    <row r="998" ht="13" customHeight="1" s="82"/>
    <row r="999" ht="13" customHeight="1" s="82"/>
    <row r="1000" ht="13" customHeight="1" s="8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2026-10-21T18:22:28Z</dcterms:created>
  <dcterms:modified xsi:type="dcterms:W3CDTF">2026-10-21T18:22:28Z</dcterms:modified>
  <cp:lastModifiedBy>Rejah Rehim</cp:lastModifiedBy>
</cp:coreProperties>
</file>